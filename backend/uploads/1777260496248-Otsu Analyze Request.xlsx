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epsongroup.sharepoint.com/sites/IEI-os-Teams-E3ProdEng_OtaKu/Shared Documents/In Process Defect Follow Up/"/>
    </mc:Choice>
  </mc:AlternateContent>
  <xr:revisionPtr revIDLastSave="633" documentId="11_C81C7FBC6D2F338960D1E5AD1A1FC1D8D3FDAF3F" xr6:coauthVersionLast="47" xr6:coauthVersionMax="47" xr10:uidLastSave="{0A455BE9-9A84-48D8-830B-5DBEDF08A870}"/>
  <bookViews>
    <workbookView minimized="1" xWindow="10836" yWindow="2904" windowWidth="13248" windowHeight="10380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Sheet2!$A$4:$A$13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 a="1"/>
  <c r="H4" i="2" s="1"/>
  <c r="F8" i="2"/>
  <c r="F7" i="2"/>
  <c r="F6" i="2"/>
  <c r="F5" i="2"/>
  <c r="F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<sst xmlns="http://schemas.openxmlformats.org/spreadsheetml/2006/main" count="361" uniqueCount="275">
  <si>
    <t>Request No</t>
  </si>
  <si>
    <t>Model</t>
  </si>
  <si>
    <t>Defect Name</t>
  </si>
  <si>
    <t>Stage</t>
  </si>
  <si>
    <t>Phenomenon</t>
  </si>
  <si>
    <t>Verify Phenomenon</t>
  </si>
  <si>
    <t>Link Photo of Phenomenon</t>
  </si>
  <si>
    <t>Url Photo</t>
  </si>
  <si>
    <t>Task Id</t>
  </si>
  <si>
    <t>Root Cause</t>
  </si>
  <si>
    <t>Action Item</t>
  </si>
  <si>
    <t>Created By</t>
  </si>
  <si>
    <t>OT241216083650</t>
  </si>
  <si>
    <t>Otsu</t>
  </si>
  <si>
    <t>PH SCRATCH</t>
  </si>
  <si>
    <t xml:space="preserve">PH </t>
  </si>
  <si>
    <t>Saat di check PH, Ada Scrtach di PH Sebelum di Pakai total 23 Pcs</t>
  </si>
  <si>
    <t>When check PH before attach to mecha found scratch</t>
  </si>
  <si>
    <t>[{"name":"PH scaratch_Abdul Arief.png","link":"https://epsongroup-my.sharepoint.com/personal/brian_ramdhani_epson_co_id/Documents/Apps/Microsoft%20Forms/TAKATSU%20ANALYZE%20REPORT%20(2)/Picture%20of%20Phenomenon/PH%20scaratch_Abdul%20Arief.png","id":"01D6UVHSP7BNHAXQJRWBGLSXZZDUM3FAYU","type":null,"size":105366,"referenceId":"01D6UVHSP2XV7KQTHTGFGZN43L4OR773ZN","driveId":"b!7qg8FsnQY0iiT36_x6Novv_3J9v4MtxPsytkCbb-ZPz3ScQFcxKeSqI2jw7AAtnZ","status":1,"uploadSessionUrl":null}]</t>
  </si>
  <si>
    <t>wTk7Qgj5Q0qj3q_nOfo8tcgACg1k</t>
  </si>
  <si>
    <t>return to PH departement waiting analyze from PH departement</t>
  </si>
  <si>
    <t>check all stock PH before using PH</t>
  </si>
  <si>
    <t>Abdul Arief</t>
  </si>
  <si>
    <t>OT241216092303</t>
  </si>
  <si>
    <t>Spring Unpost</t>
  </si>
  <si>
    <t>Update Firmware</t>
  </si>
  <si>
    <t>Saat membalik product, spring jatuh</t>
  </si>
  <si>
    <t>Saat Proses Membalikan Product di Stage H.Base , Spring terlepas</t>
  </si>
  <si>
    <t>[{"name":"17343165709503639971844652511838_Brian Ramdhani.jpg","link":"https://epsongroup-my.sharepoint.com/personal/brian_ramdhani_epson_co_id/Documents/Apps/Microsoft%20Forms/TAKATSU%20ANALYZE%20REPORT%20(2)/Picture%20of%20Phenomenon/17343165709503639971844652511838_Brian%20Ramdhani.jpg","id":"01D6UVHSMQMXUJ6GI3FFFIOIOTIDOAL6SR","type":null,"size":2912853,"referenceId":"01D6UVHSP2XV7KQTHTGFGZN43L4OR773ZN","driveId":"b!7qg8FsnQY0iiT36_x6Novv_3J9v4MtxPsytkCbb-ZPz3ScQFcxKeSqI2jw7AAtnZ","status":1,"uploadSessionUrl":null}]</t>
  </si>
  <si>
    <t>m9uDcSckIUOmq02m3-wcy8gAM4sM</t>
  </si>
  <si>
    <t>Spring Lepas Karena not full Insert dan tidak asa pengecekan di stage sebelum nya</t>
  </si>
  <si>
    <t xml:space="preserve">Additional Pengecekan Spring di Stage MA 1 </t>
  </si>
  <si>
    <t>Brian Ramdhani</t>
  </si>
  <si>
    <t>OT241216094402</t>
  </si>
  <si>
    <t xml:space="preserve">ACES Inspection NG </t>
  </si>
  <si>
    <t>Stage QR Code</t>
  </si>
  <si>
    <t xml:space="preserve">Saat QR Code check display Merah diPC </t>
  </si>
  <si>
    <t>ACES connection NG in Stage QR Code</t>
  </si>
  <si>
    <t>[{"name":"ACES verify NG_Abdul Arief.png","link":"https://epsongroup-my.sharepoint.com/personal/brian_ramdhani_epson_co_id/Documents/Apps/Microsoft%20Forms/TAKATSU%20ANALYZE%20REPORT%20(2)/Picture%20of%20Phenomenon/ACES%20verify%20NG_Abdul%20Arief.png","id":"01D6UVHSPXDYCWCICOXVFLCFHWUXEIBPYW","type":null,"size":535294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</si>
  <si>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https://epsongroup-my.sharepoint.com/personal/brian_ramdhani_epson_co_id/Documents/Apps/Microsoft%20Forms/TAKATSU%20ANALYZE%20REPORT%20(2)/Picture%20of%20Phenomenon/ACES%20verify%20NG_Abdul%20Arief.png</t>
  </si>
  <si>
    <t>BlFT2yEopkadW31jUzgGzMgAPICW</t>
  </si>
  <si>
    <t>Contamination CRO2 to FFC ACES, TANK permanen NG need to change board ACES and FFC ACES</t>
  </si>
  <si>
    <t>Change Tank assy, retraining operator when additional CRO2 when assy Tube Ink Supply in Tank assy</t>
  </si>
  <si>
    <t>OT250113025601</t>
  </si>
  <si>
    <t>No Print</t>
  </si>
  <si>
    <t>Printing</t>
  </si>
  <si>
    <t>Tidak ada patter print pada paper saat result menu inkcharge keluar</t>
  </si>
  <si>
    <t>In Printing stage found No Ink charge and make no print</t>
  </si>
  <si>
    <t>[{"name":"Ink System NG_Abdul Arief.png","link":"https://epsongroup-my.sharepoint.com/personal/brian_ramdhani_epson_co_id/Documents/Apps/Microsoft%20Forms/TAKATSU%20ANALYZE%20REPORT%20(2)/Picture%20of%20Phenomenon/Ink%20System%20NG_Abdul%20Arief.png","id":"01D6UVHSLMMX7ERNTM2RHZ3QIAP2BCFAPL","type":null,"size":489314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</si>
  <si>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https://epsongroup-my.sharepoint.com/personal/brian_ramdhani_epson_co_id/Documents/Apps/Microsoft%20Forms/TAKATSU%20ANALYZE%20REPORT%20(2)/Picture%20of%20Phenomenon/Ink%20System%20NG_Abdul%20Arief.png</t>
  </si>
  <si>
    <t>1OoRAkpWHUWHlF6XwHshSMgALxgz</t>
  </si>
  <si>
    <t>Valve Cap stuck and not cover tube valve</t>
  </si>
  <si>
    <t>Dont Delivery : Request SEC for make CSV data Ink System can upload to monosys, Dont Make : Retraining Operator and additional caution sheet</t>
  </si>
  <si>
    <t>OT250113025834</t>
  </si>
  <si>
    <t>PG cannot adjust</t>
  </si>
  <si>
    <t>PG confirm</t>
  </si>
  <si>
    <t>Saat menu 2. PG adjustment bashing belum di adjust sudah bunyi</t>
  </si>
  <si>
    <t>When PG Adjust, after set bushing at maximum 4 still NG [Buzzer still On]</t>
  </si>
  <si>
    <t>[{"name":"Missing Slider CR_Rio Rizki Khanigia.jpg","link":"https://epsongroup-my.sharepoint.com/personal/brian_ramdhani_epson_co_id/Documents/Apps/Microsoft%20Forms/TAKATSU%20ANALYZE%20REPORT%20(2)/Picture%20of%20Phenomenon/Missing%20Slider%20CR_Rio%20Rizki%20Khanigia.jpg","id":"01D6UVHSJ322ARBCMQJRFLZSEI375RSDDX","type":null,"size":108481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</si>
  <si>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https://epsongroup-my.sharepoint.com/personal/brian_ramdhani_epson_co_id/Documents/Apps/Microsoft%20Forms/TAKATSU%20ANALYZE%20REPORT%20(2)/Picture%20of%20Phenomenon/Missing%20Slider%20CR_Rio%20Rizki%20Khanigia.jpg</t>
  </si>
  <si>
    <t>M0aXmY2t3EWvLup9Chb7PMgAKSJh</t>
  </si>
  <si>
    <t>Missing Slider CR from Kiyokuni Vendor</t>
  </si>
  <si>
    <t>Return mechanism and continue investigate to vendor</t>
  </si>
  <si>
    <t>Rio Rizki Khanigia</t>
  </si>
  <si>
    <t>OT250210111625</t>
  </si>
  <si>
    <t>Function status nozzle abnormal (bend or omissions)</t>
  </si>
  <si>
    <t>Csim</t>
  </si>
  <si>
    <t>Saat menu nozzle detect result print NG saat di scann</t>
  </si>
  <si>
    <t>Nozzle Bend when check in menu 4 in stage CISM</t>
  </si>
  <si>
    <t>[{"name":"nozzle bend_Abdul Arief.png","link":"https://epsongroup-my.sharepoint.com/personal/brian_ramdhani_epson_co_id/Documents/Apps/Microsoft%20Forms/TAKATSU%20ANALYZE%20REPORT%20(2)/Picture%20of%20Phenomenon/nozzle%20bend_Abdul%20Arief.png","id":"01D6UVHSIYBRFUIW5XBVAKHKF76IT7OQ6H","type":null,"size":123782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</si>
  <si>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https://epsongroup-my.sharepoint.com/personal/brian_ramdhani_epson_co_id/Documents/Apps/Microsoft%20Forms/TAKATSU%20ANALYZE%20REPORT%20(2)/Picture%20of%20Phenomenon/nozzle%20bend_Abdul%20Arief.png</t>
  </si>
  <si>
    <t>n90_BsDqwUah2UzJYHQmL8gALPWK</t>
  </si>
  <si>
    <t>PH problem, CIS Module OTSU detect NG, but in printing value still on spec</t>
  </si>
  <si>
    <t>change PH , Keep old PH</t>
  </si>
  <si>
    <t>OT250227042307</t>
  </si>
  <si>
    <t>Front cover access NG</t>
  </si>
  <si>
    <t>Set ID</t>
  </si>
  <si>
    <t>Pada saat special inspection sensor front access tidak dapat terbaca</t>
  </si>
  <si>
    <t>Check Special Inspection, when check front Acces sensor (Condition pull out mechanism)</t>
  </si>
  <si>
    <t>[{"name":"Harness_Abdul Arief.png","link":"https://epsongroup-my.sharepoint.com/personal/brian_ramdhani_epson_co_id/Documents/Apps/Microsoft%20Forms/TAKATSU%20ANALYZE%20REPORT%20(2)/Picture%20of%20Phenomenon/Harness_Abdul%20Arief.png","id":"01D6UVHSMOAHHNKW3S5FH2F3VXZC3ZC2N5","type":null,"size":226170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</si>
  <si>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https://epsongroup-my.sharepoint.com/personal/brian_ramdhani_epson_co_id/Documents/Apps/Microsoft%20Forms/TAKATSU%20ANALYZE%20REPORT%20(2)/Picture%20of%20Phenomenon/Harness_Abdul%20Arief.png</t>
  </si>
  <si>
    <t>_qmRAms9ukeGW6-AvxtjCcgAPqau</t>
  </si>
  <si>
    <t>Sensor condition in Panel suspect shifting</t>
  </si>
  <si>
    <t>reassy sensor front acces in Panel become OK</t>
  </si>
  <si>
    <t>OT250310091950</t>
  </si>
  <si>
    <t>DO</t>
  </si>
  <si>
    <t>Result printing DO dari menu ink charge awal</t>
  </si>
  <si>
    <t>DO in color CYAN , DO after 2.3</t>
  </si>
  <si>
    <t>[{"name":"DO_Abdul Arief.png","link":"https://epsongroup-my.sharepoint.com/personal/brian_ramdhani_epson_co_id/Documents/Apps/Microsoft%20Forms/TAKATSU%20ANALYZE%20REPORT%20(2)/Picture%20of%20Phenomenon/DO_Abdul%20Arief.png","id":"01D6UVHSKHBMK7TKOUFZBI344GBJLG7YS7","type":null,"size":241061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</si>
  <si>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https://epsongroup-my.sharepoint.com/personal/brian_ramdhani_epson_co_id/Documents/Apps/Microsoft%20Forms/TAKATSU%20ANALYZE%20REPORT%20(2)/Picture%20of%20Phenomenon/DO_Abdul%20Arief.png</t>
  </si>
  <si>
    <t>TdwIPmEvKk6FOkrCEBBu48gACjlh</t>
  </si>
  <si>
    <t>Check using product evaluation</t>
  </si>
  <si>
    <t>Wiping and using Vacumm for 1st rate</t>
  </si>
  <si>
    <t>OT250310092055</t>
  </si>
  <si>
    <t xml:space="preserve">PG can not adjust </t>
  </si>
  <si>
    <t>PG Confirm</t>
  </si>
  <si>
    <t>Saat cari nilai bushing jig thickness menyentuh area PH</t>
  </si>
  <si>
    <t>PG Small condition, Jig PG touching PH</t>
  </si>
  <si>
    <t>[{"name":"PG Cannt_Abdul Arief.png","link":"https://epsongroup-my.sharepoint.com/personal/brian_ramdhani_epson_co_id/Documents/Apps/Microsoft%20Forms/TAKATSU%20ANALYZE%20REPORT%20(2)/Picture%20of%20Phenomenon/PG%20Cannt_Abdul%20Arief.png","id":"01D6UVHSPGKKTHBVFGYRCZK6QZSZQJNKH3","type":null,"size":487063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</si>
  <si>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https://epsongroup-my.sharepoint.com/personal/brian_ramdhani_epson_co_id/Documents/Apps/Microsoft%20Forms/TAKATSU%20ANALYZE%20REPORT%20(2)/Picture%20of%20Phenomenon/PG%20Cannt_Abdul%20Arief.png</t>
  </si>
  <si>
    <t>2uQ-iDDHF0CXAK0PWewyYsgAKBei</t>
  </si>
  <si>
    <t>Slider CR NG</t>
  </si>
  <si>
    <t>change mechanism , return to kiyokuni</t>
  </si>
  <si>
    <t>OT250310120307</t>
  </si>
  <si>
    <t>Fatal error 00043</t>
  </si>
  <si>
    <t>Head Id/ QR Code</t>
  </si>
  <si>
    <t>Fatal errror 0043 saat menu acces connection check</t>
  </si>
  <si>
    <t>NG FE43 in QR Code when check PF Measurement</t>
  </si>
  <si>
    <t>[{"name":"Fe43_Abdul Arief.png","link":"https://epsongroup-my.sharepoint.com/personal/brian_ramdhani_epson_co_id/Documents/Apps/Microsoft%20Forms/TAKATSU%20ANALYZE%20REPORT%20(2)/Picture%20of%20Phenomenon/Fe43_Abdul%20Arief.png","id":"01D6UVHSO7A5JQVAQZYJFLCHEWDBOTFKXY","type":null,"size":92093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</si>
  <si>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https://epsongroup-my.sharepoint.com/personal/brian_ramdhani_epson_co_id/Documents/Apps/Microsoft%20Forms/TAKATSU%20ANALYZE%20REPORT%20(2)/Picture%20of%20Phenomenon/Fe43_Abdul%20Arief.png</t>
  </si>
  <si>
    <t>HcPYpxobiUux2QsBvJkv1cgAAQmy</t>
  </si>
  <si>
    <t>Harness EJ dent</t>
  </si>
  <si>
    <t>Change Harness EJ</t>
  </si>
  <si>
    <t>OT250310021957</t>
  </si>
  <si>
    <t>NG DO saat menu ink charge awal sampai 2.3</t>
  </si>
  <si>
    <t>DO in 1st Line in Light Magenta</t>
  </si>
  <si>
    <t>[{"name":"Doaa_Abdul Arief.png","link":"https://epsongroup-my.sharepoint.com/personal/brian_ramdhani_epson_co_id/Documents/Apps/Microsoft%20Forms/TAKATSU%20ANALYZE%20REPORT%20(2)/Picture%20of%20Phenomenon/Doaa_Abdul%20Arief.png","id":"01D6UVHSMYXNUPTP5DUZG3XMC4UC6NNR5H","type":null,"size":383779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</si>
  <si>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https://epsongroup-my.sharepoint.com/personal/brian_ramdhani_epson_co_id/Documents/Apps/Microsoft%20Forms/TAKATSU%20ANALYZE%20REPORT%20(2)/Picture%20of%20Phenomenon/Doaa_Abdul%20Arief.png</t>
  </si>
  <si>
    <t>02Cc6VDhtkSAohOy-Y3C38gAL2JH</t>
  </si>
  <si>
    <t>PH Problem</t>
  </si>
  <si>
    <t>Wiping and Vacumm PH, check actual using evaluasi mecha</t>
  </si>
  <si>
    <t>OT250414112047</t>
  </si>
  <si>
    <t>Paper out error</t>
  </si>
  <si>
    <t>Saat menu 5 pw adjust ,paper keluar TDK ada pattern progam printing running trs SDH pindah jig msh sama ada 2 product</t>
  </si>
  <si>
    <t>During Paper Check using JIG 99, find NG Paper Out Error</t>
  </si>
  <si>
    <t>[{"name":"JIG 99 Bending_Rio Rizki Khanigia.jpg","link":"https://epsongroup-my.sharepoint.com/personal/brian_ramdhani_epson_co_id/Documents/Apps/Microsoft%20Forms/TAKATSU%20ANALYZE%20REPORT%20(2)/Picture%20of%20Phenomenon/JIG%2099%20Bending_Rio%20Rizki%20Khanigia.jpg","id":"01D6UVHSO3ZYXBEDZ6HNH2VUCA7TPIYUQV","type":null,"size":73523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</si>
  <si>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https://epsongroup-my.sharepoint.com/personal/brian_ramdhani_epson_co_id/Documents/Apps/Microsoft%20Forms/TAKATSU%20ANALYZE%20REPORT%20(2)/Picture%20of%20Phenomenon/JIG%2099%20Bending_Rio%20Rizki%20Khanigia.jpg</t>
  </si>
  <si>
    <t>IiuwiJIHc0K4TGTLXgoDGcgAAYpu</t>
  </si>
  <si>
    <t>JIG 99 is curved</t>
  </si>
  <si>
    <t>Change JIG 99 with new Paper condition</t>
  </si>
  <si>
    <t>OT250414112729</t>
  </si>
  <si>
    <t>MDO</t>
  </si>
  <si>
    <t>MDO saat menu ink charge, sudah pindah jig</t>
  </si>
  <si>
    <t>During printing Nozzle Check find NG MDO Magenta</t>
  </si>
  <si>
    <t>[{"name":"20250414_184734_Rio Rizki Khanigia.jpg","link":"https://epsongroup-my.sharepoint.com/personal/brian_ramdhani_epson_co_id/Documents/Apps/Microsoft%20Forms/TAKATSU%20ANALYZE%20REPORT%20(2)/Picture%20of%20Phenomenon/20250414_184734_Rio%20Rizki%20Khanigia.jpg","id":"01D6UVHSOY5YSV7GI2FJBK65KX6GKY5YVQ","type":null,"size":2142929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</si>
  <si>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https://epsongroup-my.sharepoint.com/personal/brian_ramdhani_epson_co_id/Documents/Apps/Microsoft%20Forms/TAKATSU%20ANALYZE%20REPORT%20(2)/Picture%20of%20Phenomenon/20250414_184734_Rio%20Rizki%20Khanigia.jpg</t>
  </si>
  <si>
    <t>_gRaww5jFkSMonlTI51uK8gANzrL</t>
  </si>
  <si>
    <t>Still Analyze by PH Dept. (PH NG Actual still keep at Production)</t>
  </si>
  <si>
    <t>Change PH in Line, cleaning Joint PH Equipment and 5S Printing Area</t>
  </si>
  <si>
    <t>OT250414124757</t>
  </si>
  <si>
    <t>Noise</t>
  </si>
  <si>
    <t>Sebelumnya NG Noise saat carriage bergerak, dicoba kembali beda jig tetap noise</t>
  </si>
  <si>
    <t>Hear Noise during Carriage Movement at Printing ColorBase Pattern</t>
  </si>
  <si>
    <t>[{"name":"Color Base Paatern_Rio Rizki Khanigia.jpg","link":"https://epsongroup-my.sharepoint.com/personal/brian_ramdhani_epson_co_id/Documents/Apps/Microsoft%20Forms/TAKATSU%20ANALYZE%20REPORT%20(2)/Picture%20of%20Phenomenon/Color%20Base%20Paatern_Rio%20Rizki%20Khanigia.jpg","id":"01D6UVHSKUYRMXSKJ57BGZMEJBNTRRH3AJ","type":null,"size":86598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</si>
  <si>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https://epsongroup-my.sharepoint.com/personal/brian_ramdhani_epson_co_id/Documents/Apps/Microsoft%20Forms/TAKATSU%20ANALYZE%20REPORT%20(2)/Picture%20of%20Phenomenon/Color%20Base%20Paatern_Rio%20Rizki%20Khanigia.jpg</t>
  </si>
  <si>
    <t>P9C-ihg26Um9X0OGDEJttsgAO6EY</t>
  </si>
  <si>
    <t>Still analyze</t>
  </si>
  <si>
    <t>Change Mechanism, keep original Mecha NG to deep analyze</t>
  </si>
  <si>
    <t>OT250513084637</t>
  </si>
  <si>
    <t>Aces FFC conection check fail</t>
  </si>
  <si>
    <t>Stage QR code</t>
  </si>
  <si>
    <t>Cek QR code menu aces ng</t>
  </si>
  <si>
    <t>FFC ACES Connection Fail NG</t>
  </si>
  <si>
    <t>[{"name":"ACES Fail NG_Abdul Arief.jpg","link":"https://epsongroup-my.sharepoint.com/personal/brian_ramdhani_epson_co_id/Documents/Apps/Microsoft%20Forms/TAKATSU%20ANALYZE%20REPORT%20(2)/Picture%20of%20Phenomenon/ACES%20Fail%20NG_Abdul%20Arief.jpg","id":"01D6UVHSPD74EEKIRN6NAI4GKDVEVWBLOL","type":null,"size":230302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</si>
  <si>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https://epsongroup-my.sharepoint.com/personal/brian_ramdhani_epson_co_id/Documents/Apps/Microsoft%20Forms/TAKATSU%20ANALYZE%20REPORT%20(2)/Picture%20of%20Phenomenon/ACES%20Fail%20NG_Abdul%20Arief.jpg</t>
  </si>
  <si>
    <t>jUM95UWTSUKRbj6fz5xmBcgADL1x</t>
  </si>
  <si>
    <t>Assy FFC Harness from Tank to FFC Panel NG</t>
  </si>
  <si>
    <t>Check Tank NG in Sub Assy : Result OK, Check Tank NG in other mecha result  : OK</t>
  </si>
  <si>
    <t>OT250513110337</t>
  </si>
  <si>
    <t>Stacker  sensor error</t>
  </si>
  <si>
    <t>QR code</t>
  </si>
  <si>
    <t>Saat cek sensor stacker</t>
  </si>
  <si>
    <t>Stacker sensor error ( do not close )</t>
  </si>
  <si>
    <t>[{"name":"Stacker NG_Abdul Arief.jpg","link":"https://epsongroup-my.sharepoint.com/personal/brian_ramdhani_epson_co_id/Documents/Apps/Microsoft%20Forms/TAKATSU%20ANALYZE%20REPORT%20(2)/Picture%20of%20Phenomenon/Stacker%20NG_Abdul%20Arief.jpg","id":"01D6UVHSOSR3S56VYC3ZDZ5SNAX2EC22F3","type":null,"size":211698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</si>
  <si>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https://epsongroup-my.sharepoint.com/personal/brian_ramdhani_epson_co_id/Documents/Apps/Microsoft%20Forms/TAKATSU%20ANALYZE%20REPORT%20(2)/Picture%20of%20Phenomenon/Stacker%20NG_Abdul%20Arief.jpg</t>
  </si>
  <si>
    <t>3uc83cIb3Eifyf80fv4CBMgAMhvC</t>
  </si>
  <si>
    <t>Stacker Sensor NG broken, first time not broken after check harness found poor join harness and easily broken</t>
  </si>
  <si>
    <t>change Stacker Sensor using other mecha</t>
  </si>
  <si>
    <t>OT250513114641</t>
  </si>
  <si>
    <t>DMAV</t>
  </si>
  <si>
    <t>NG DMAV saat menu 4. Ink charge di printing</t>
  </si>
  <si>
    <t>DMAV in color BK, NG compare to limit sample</t>
  </si>
  <si>
    <t>[{"name":"DMAV_Abdul Arief.jpg","link":"https://epsongroup-my.sharepoint.com/personal/brian_ramdhani_epson_co_id/Documents/Apps/Microsoft%20Forms/TAKATSU%20ANALYZE%20REPORT%20(2)/Picture%20of%20Phenomenon/DMAV_Abdul%20Arief.jpg","id":"01D6UVHSPNNKOX3QFLWVAJMPJBYATTS3BY","type":null,"size":96589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</si>
  <si>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https://epsongroup-my.sharepoint.com/personal/brian_ramdhani_epson_co_id/Documents/Apps/Microsoft%20Forms/TAKATSU%20ANALYZE%20REPORT%20(2)/Picture%20of%20Phenomenon/DMAV_Abdul%20Arief.jpg</t>
  </si>
  <si>
    <t>zy5QVwQyrUuIWgoy8nH5KMgAEb5E</t>
  </si>
  <si>
    <t>Still analyze PH NG already keep</t>
  </si>
  <si>
    <t>Change PH, wiping PH retry in mecha evaluation</t>
  </si>
  <si>
    <t>OT250513010521</t>
  </si>
  <si>
    <t>QR CODE</t>
  </si>
  <si>
    <t xml:space="preserve">Menu Head Id proses all Saat open stacker </t>
  </si>
  <si>
    <t>Stacker Open Error when check in menu QR Code</t>
  </si>
  <si>
    <t>[{"name":"Flash_Abdul Arief.png","link":"https://epsongroup-my.sharepoint.com/personal/brian_ramdhani_epson_co_id/Documents/Apps/Microsoft%20Forms/TAKATSU%20ANALYZE%20REPORT%20(2)/Picture%20of%20Phenomenon/Flash_Abdul%20Arief.png","id":"01D6UVHSO7FOI5NSS6YJE2UKOEKLEX6C7B","type":null,"size":209295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</si>
  <si>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https://epsongroup-my.sharepoint.com/personal/brian_ramdhani_epson_co_id/Documents/Apps/Microsoft%20Forms/TAKATSU%20ANALYZE%20REPORT%20(2)/Picture%20of%20Phenomenon/Flash_Abdul%20Arief.png</t>
  </si>
  <si>
    <t>ap0s1lToHEWkaKK2IEtLv8gAPY16</t>
  </si>
  <si>
    <t>flash in LEVER,DOCUMENT SENSOR</t>
  </si>
  <si>
    <t>Change LEVER,DOCUMENT SENSOR from other mecha, check in Internal 5 times</t>
  </si>
  <si>
    <t>OT250513031625</t>
  </si>
  <si>
    <t>Set Id</t>
  </si>
  <si>
    <t xml:space="preserve">Paper out error saat check scale </t>
  </si>
  <si>
    <t>Paper out in Set id check 1 pcs paper</t>
  </si>
  <si>
    <t>[{"name":"paper out_Abdul Arief.png","link":"https://epsongroup-my.sharepoint.com/personal/brian_ramdhani_epson_co_id/Documents/Apps/Microsoft%20Forms/TAKATSU%20ANALYZE%20REPORT%20(2)/Picture%20of%20Phenomenon/paper%20out_Abdul%20Arief.png","id":"01D6UVHSOCSCELMFZ6VJFZK53HHFDPXZWS","type":null,"size":513806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</si>
  <si>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https://epsongroup-my.sharepoint.com/personal/brian_ramdhani_epson_co_id/Documents/Apps/Microsoft%20Forms/TAKATSU%20ANALYZE%20REPORT%20(2)/Picture%20of%20Phenomenon/paper%20out_Abdul%20Arief.png</t>
  </si>
  <si>
    <t>5NDM9tnj00q50TqgrsCxXsgAP5QQ</t>
  </si>
  <si>
    <t>paper position in stacker not full condition , still can move until stop , after move paper become OK</t>
  </si>
  <si>
    <t>move condition paper in full position when check paper in set id</t>
  </si>
  <si>
    <t>OT250609042731</t>
  </si>
  <si>
    <t>Fatal error 41</t>
  </si>
  <si>
    <t>Qr code</t>
  </si>
  <si>
    <t>Saat now scale check jadi Fe 00041</t>
  </si>
  <si>
    <t>FE 41 in QR Code Stage</t>
  </si>
  <si>
    <t>[{"name":"Fe41_Abdul Arief.png","link":"https://epsongroup-my.sharepoint.com/personal/brian_ramdhani_epson_co_id/Documents/Apps/Microsoft%20Forms/TAKATSU%20ANALYZE%20REPORT%20(2)/Picture%20of%20Phenomenon/Fe41_Abdul%20Arief.png","id":"01D6UVHSLQSVYFPSHOJFEZISBVNBJ6JTZW","type":null,"size":560952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</si>
  <si>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https://epsongroup-my.sharepoint.com/personal/brian_ramdhani_epson_co_id/Documents/Apps/Microsoft%20Forms/TAKATSU%20ANALYZE%20REPORT%20(2)/Picture%20of%20Phenomenon/Fe41_Abdul%20Arief.png</t>
  </si>
  <si>
    <t>sGaDc2LsVk6JWAt7MxwqxsgABVjq</t>
  </si>
  <si>
    <t>Scale EJ not insert board Sensor EJ</t>
  </si>
  <si>
    <t>re training Operator, check WIP OK 20/20</t>
  </si>
  <si>
    <t>OT250609042835</t>
  </si>
  <si>
    <t>Sensor dupplex ng</t>
  </si>
  <si>
    <t>Set id</t>
  </si>
  <si>
    <t xml:space="preserve">Ketika perintah open dupplex sensor tidak terbaca </t>
  </si>
  <si>
    <t>When Special inspection Error sensor when release cassete not detect open</t>
  </si>
  <si>
    <t>[{"name":"duplex sensor nG_Abdul Arief.png","link":"https://epsongroup-my.sharepoint.com/personal/brian_ramdhani_epson_co_id/Documents/Apps/Microsoft%20Forms/TAKATSU%20ANALYZE%20REPORT%20(2)/Picture%20of%20Phenomenon/duplex%20sensor%20nG_Abdul%20Arief.png","id":"01D6UVHSNCDBBJI3762NF3EC2CCXFHC3BH","type":null,"size":111054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</si>
  <si>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https://epsongroup-my.sharepoint.com/personal/brian_ramdhani_epson_co_id/Documents/Apps/Microsoft%20Forms/TAKATSU%20ANALYZE%20REPORT%20(2)/Picture%20of%20Phenomenon/duplex%20sensor%20nG_Abdul%20Arief.png</t>
  </si>
  <si>
    <t>atLxiSJQz0i1LzJgnM7_pcgANUPm</t>
  </si>
  <si>
    <t>Missmatch position sensor duplex and Cassete</t>
  </si>
  <si>
    <t>Re-training operator, Check WIP OK 10/10</t>
  </si>
  <si>
    <t>OT250609052413</t>
  </si>
  <si>
    <t>Unstable</t>
  </si>
  <si>
    <t>Unstable saat inkcharge (product after repair)</t>
  </si>
  <si>
    <t>Unstable print , already Cleaning until 2.3 and wiping</t>
  </si>
  <si>
    <t>[{"name":"UP otsu_Abdul Arief.png","link":"https://epsongroup-my.sharepoint.com/personal/brian_ramdhani_epson_co_id/Documents/Apps/Microsoft%20Forms/TAKATSU%20ANALYZE%20REPORT%20(2)/Picture%20of%20Phenomenon/UP%20otsu_Abdul%20Arief.png","id":"01D6UVHSMACBHJJRHXDNGJPU6B3QYWVYPX","type":null,"size":353979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</si>
  <si>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https://epsongroup-my.sharepoint.com/personal/brian_ramdhani_epson_co_id/Documents/Apps/Microsoft%20Forms/TAKATSU%20ANALYZE%20REPORT%20(2)/Picture%20of%20Phenomenon/UP%20otsu_Abdul%20Arief.png</t>
  </si>
  <si>
    <t>rp096SdAWU2Sg6AVlICgAsgALWCu</t>
  </si>
  <si>
    <t>Still Analyze</t>
  </si>
  <si>
    <t>E-stoct PH , check PH in mecha evaluation</t>
  </si>
  <si>
    <t>OT250610034909</t>
  </si>
  <si>
    <t>Nozzle abnormal (bend omissions)</t>
  </si>
  <si>
    <t>Cism</t>
  </si>
  <si>
    <t>Saat menu nozzle detect result tidak dapat di scan</t>
  </si>
  <si>
    <t>Nozzle bend in stage CISM menu number 4</t>
  </si>
  <si>
    <t>[{"name":"CISM_Abdul Arief.png","link":"https://epsongroup-my.sharepoint.com/personal/brian_ramdhani_epson_co_id/Documents/Apps/Microsoft%20Forms/TAKATSU%20ANALYZE%20REPORT%20(2)/Picture%20of%20Phenomenon/CISM_Abdul%20Arief.png","id":"01D6UVHSO73QUIAOLYQRD2UERHJM567CU5","type":null,"size":358986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</si>
  <si>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https://epsongroup-my.sharepoint.com/personal/brian_ramdhani_epson_co_id/Documents/Apps/Microsoft%20Forms/TAKATSU%20ANALYZE%20REPORT%20(2)/Picture%20of%20Phenomenon/CISM_Abdul%20Arief.png</t>
  </si>
  <si>
    <t>eNGAcVCiJkKrh4FhFc-vgMgAF-ht</t>
  </si>
  <si>
    <t>Gap in result menu Nozzle check in CISM NG, condition in Printing still on limit</t>
  </si>
  <si>
    <t>Change PH</t>
  </si>
  <si>
    <t>OT250714093444</t>
  </si>
  <si>
    <t>Measure the voltage nilainya rendah</t>
  </si>
  <si>
    <t>Head id</t>
  </si>
  <si>
    <t>Nilai voltage di bwh std</t>
  </si>
  <si>
    <t>High voltage NG , Value 35 mV standard more than 300 mV</t>
  </si>
  <si>
    <t>[{"name":"voltage_Abdul Arief.png","link":"https://epsongroup-my.sharepoint.com/personal/brian_ramdhani_epson_co_id/Documents/Apps/Microsoft%20Forms/TAKATSU%20ANALYZE%20REPORT%20(2)/Picture%20of%20Phenomenon/voltage_Abdul%20Arief.png","id":"01D6UVHSOOL3OE6SACHNHZUP45IUXNYG3I","type":null,"size":409662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</si>
  <si>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https://epsongroup-my.sharepoint.com/personal/brian_ramdhani_epson_co_id/Documents/Apps/Microsoft%20Forms/TAKATSU%20ANALYZE%20REPORT%20(2)/Picture%20of%20Phenomenon/voltage_Abdul%20Arief.png</t>
  </si>
  <si>
    <t>sI97dc-7zUCPeeC_1k9-dcgAKCyS</t>
  </si>
  <si>
    <t>Board High voltage NG</t>
  </si>
  <si>
    <t>Change Board High Voltage NG and return board NG to to Vendor</t>
  </si>
  <si>
    <t>OT250909080101</t>
  </si>
  <si>
    <t>Hasil print DMAV saat menu Ink Charge</t>
  </si>
  <si>
    <t>DMAV after Cleaning 2.3</t>
  </si>
  <si>
    <t>[{"name":"DMAV ng_Abdul Arief.png","link":"https://epsongroup-my.sharepoint.com/personal/brian_ramdhani_epson_co_id/Documents/Apps/Microsoft%20Forms/TAKATSU%20ANALYZE%20REPORT%20(2)/Picture%20of%20Phenomenon/DMAV%20ng_Abdul%20Arief.png","id":"01D6UVHSNRM7F5572RPBA35CV3MUK5QLOE","type":null,"size":143536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</si>
  <si>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https://epsongroup-my.sharepoint.com/personal/brian_ramdhani_epson_co_id/Documents/Apps/Microsoft%20Forms/TAKATSU%20ANALYZE%20REPORT%20(2)/Picture%20of%20Phenomenon/DMAV%20ng_Abdul%20Arief.png</t>
  </si>
  <si>
    <t>VlcJmhzAYE6t6Kt-yrzq5cgAMf0g</t>
  </si>
  <si>
    <t>Still analyze by PH Dept</t>
  </si>
  <si>
    <t>Return PH NG</t>
  </si>
  <si>
    <t>OT250909015410</t>
  </si>
  <si>
    <t>Lamp test</t>
  </si>
  <si>
    <t>Lamp test saat menu CIS Adjust</t>
  </si>
  <si>
    <t>lamp spike test in menu 2</t>
  </si>
  <si>
    <t>[{"name":"lamp spike_Abdul Arief.png","link":"https://epsongroup-my.sharepoint.com/personal/brian_ramdhani_epson_co_id/Documents/Apps/Microsoft%20Forms/TAKATSU%20ANALYZE%20REPORT%20(2)/Picture%20of%20Phenomenon/lamp%20spike_Abdul%20Arief.png","id":"01D6UVHSOTWMLF4RWVXNGJJCIQ3IAZYXCP","type":null,"size":145471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</si>
  <si>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https://epsongroup-my.sharepoint.com/personal/brian_ramdhani_epson_co_id/Documents/Apps/Microsoft%20Forms/TAKATSU%20ANALYZE%20REPORT%20(2)/Picture%20of%20Phenomenon/lamp%20spike_Abdul%20Arief.png</t>
  </si>
  <si>
    <t>FI-4LrJT906yFPg3-wjmxsgABpgU</t>
  </si>
  <si>
    <t>CISM Module NG</t>
  </si>
  <si>
    <t>Change CISM</t>
  </si>
  <si>
    <t>OT251111022937</t>
  </si>
  <si>
    <t>Flash shading data missmatch</t>
  </si>
  <si>
    <t>CISM</t>
  </si>
  <si>
    <t>Saat menu CIS Adjust product NG flash shading data missmatch</t>
  </si>
  <si>
    <t>dZGJzi4c9USmxTxFG-vV1cgAA9R4</t>
  </si>
  <si>
    <t>3 Worst Defect</t>
  </si>
  <si>
    <t>Category</t>
  </si>
  <si>
    <t>Detail</t>
  </si>
  <si>
    <t>Qty</t>
  </si>
  <si>
    <t>Summary Total Category</t>
  </si>
  <si>
    <t>Defect</t>
  </si>
  <si>
    <t>Rank</t>
  </si>
  <si>
    <t>Assy Defect</t>
  </si>
  <si>
    <t>PH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</si>
</sst>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NumberFormat="1"/>
  </cellXfs>
  <cellStyles count="2">
    <cellStyle name="ハイパーリンク" xfId="1" builtinId="8"/>
    <cellStyle name="標準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FDF93-9F45-42CC-8319-A098855D8A85}" name="Table1" displayName="Table1" ref="A1:L28" totalsRowShown="0">
  <autoFilter ref="A1:L28" xr:uid="{D48FDF93-9F45-42CC-8319-A098855D8A85}"/>
  <tableColumns count="12">
    <tableColumn id="9" xr3:uid="{1308A466-7BA8-4EFC-A46B-00DE800B2098}" name="Request No" dataDxfId="0"/>
    <tableColumn id="2" xr3:uid="{5B16670B-88AA-496D-8B27-BCDD4179A0D4}" name="Model"/>
    <tableColumn id="3" xr3:uid="{2A366BB7-133C-47D6-B9F8-955DED8A2589}" name="Defect Name"/>
    <tableColumn id="4" xr3:uid="{5E86AD31-40D0-4D63-ADDE-DF99AB45C7E4}" name="Stage"/>
    <tableColumn id="5" xr3:uid="{8D1F8B05-507F-4FCC-B51A-A375E62D070C}" name="Phenomenon"/>
    <tableColumn id="6" xr3:uid="{CD52B831-FF67-4425-BFF4-B34104CB6620}" name="Verify Phenomenon"/>
    <tableColumn id="7" xr3:uid="{C909EB63-372F-49BD-81A0-EB23FDDEE6C1}" name="Link Photo of Phenomenon"/>
    <tableColumn id="1" xr3:uid="{6489E4FC-0854-4E97-A408-62E185A90ECF}" name="Url Photo"/>
    <tableColumn id="10" xr3:uid="{0C6F9FCB-2816-4EDF-A254-12A323C17B71}" name="Task Id"/>
    <tableColumn id="11" xr3:uid="{E0C788E8-89A6-4324-A09B-8D996AC0E2D3}" name="Root Cause"/>
    <tableColumn id="8" xr3:uid="{6DA593BD-9D25-4093-ADE4-77AEC222AA56}" name="Action Item"/>
    <tableColumn id="12" xr3:uid="{6EA9D515-E620-40F9-9B51-C9A1ECEFF423}" name="Created B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psongroup-my.sharepoint.com/personal/brian_ramdhani_epson_co_id/Documents/Apps/Microsoft%20Forms/TAKATSU%20ANALYZE%20REPORT%20(2)/Picture%20of%20Phenomenon/paper%20out_Abdul%20Arie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C12" sqref="C12"/>
    </sheetView>
  </sheetViews>
  <sheetFormatPr defaultRowHeight="14.45"/>
  <cols>
    <col min="1" max="1" width="18.140625" bestFit="1" customWidth="1"/>
    <col min="2" max="2" width="20.85546875" bestFit="1" customWidth="1"/>
    <col min="3" max="3" width="38.28515625" customWidth="1"/>
    <col min="4" max="4" width="10.7109375" customWidth="1"/>
    <col min="5" max="5" width="34" bestFit="1" customWidth="1"/>
    <col min="6" max="6" width="97.28515625" bestFit="1" customWidth="1"/>
    <col min="7" max="7" width="45.42578125" customWidth="1"/>
    <col min="8" max="8" width="72.7109375" customWidth="1"/>
    <col min="9" max="9" width="35.7109375" bestFit="1" customWidth="1"/>
    <col min="10" max="10" width="94.28515625" bestFit="1" customWidth="1"/>
    <col min="11" max="11" width="151.28515625" bestFit="1" customWidth="1"/>
    <col min="12" max="12" width="17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>
      <c r="A4" t="s">
        <v>33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22</v>
      </c>
    </row>
    <row r="5" spans="1:12">
      <c r="A5" t="s">
        <v>43</v>
      </c>
      <c r="B5" t="s">
        <v>13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22</v>
      </c>
    </row>
    <row r="6" spans="1:12">
      <c r="A6" t="s">
        <v>53</v>
      </c>
      <c r="B6" t="s">
        <v>13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>
      <c r="A7" t="s">
        <v>64</v>
      </c>
      <c r="B7" t="s">
        <v>13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22</v>
      </c>
    </row>
    <row r="8" spans="1:12">
      <c r="A8" t="s">
        <v>74</v>
      </c>
      <c r="B8" t="s">
        <v>13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22</v>
      </c>
    </row>
    <row r="9" spans="1:12">
      <c r="A9" t="s">
        <v>84</v>
      </c>
      <c r="B9" t="s">
        <v>13</v>
      </c>
      <c r="C9" t="s">
        <v>85</v>
      </c>
      <c r="D9" t="s">
        <v>45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22</v>
      </c>
    </row>
    <row r="10" spans="1:12">
      <c r="A10" t="s">
        <v>93</v>
      </c>
      <c r="B10" t="s">
        <v>13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22</v>
      </c>
    </row>
    <row r="11" spans="1:12">
      <c r="A11" t="s">
        <v>103</v>
      </c>
      <c r="B11" t="s">
        <v>13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22</v>
      </c>
    </row>
    <row r="12" spans="1:12">
      <c r="A12" t="s">
        <v>113</v>
      </c>
      <c r="B12" t="s">
        <v>13</v>
      </c>
      <c r="C12" t="s">
        <v>85</v>
      </c>
      <c r="D12" t="s">
        <v>45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22</v>
      </c>
    </row>
    <row r="13" spans="1:12">
      <c r="A13" t="s">
        <v>121</v>
      </c>
      <c r="B13" t="s">
        <v>13</v>
      </c>
      <c r="C13" t="s">
        <v>122</v>
      </c>
      <c r="D13" t="s">
        <v>45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63</v>
      </c>
    </row>
    <row r="14" spans="1:12">
      <c r="A14" t="s">
        <v>130</v>
      </c>
      <c r="B14" t="s">
        <v>13</v>
      </c>
      <c r="C14" t="s">
        <v>131</v>
      </c>
      <c r="D14" t="s">
        <v>45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63</v>
      </c>
    </row>
    <row r="15" spans="1:12">
      <c r="A15" t="s">
        <v>139</v>
      </c>
      <c r="B15" t="s">
        <v>13</v>
      </c>
      <c r="C15" t="s">
        <v>140</v>
      </c>
      <c r="D15" t="s">
        <v>45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63</v>
      </c>
    </row>
    <row r="16" spans="1:12">
      <c r="A16" t="s">
        <v>148</v>
      </c>
      <c r="B16" t="s">
        <v>13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22</v>
      </c>
    </row>
    <row r="17" spans="1:12">
      <c r="A17" t="s">
        <v>158</v>
      </c>
      <c r="B17" t="s">
        <v>13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22</v>
      </c>
    </row>
    <row r="18" spans="1:12">
      <c r="A18" t="s">
        <v>168</v>
      </c>
      <c r="B18" t="s">
        <v>13</v>
      </c>
      <c r="C18" t="s">
        <v>169</v>
      </c>
      <c r="D18" t="s">
        <v>45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L18" t="s">
        <v>22</v>
      </c>
    </row>
    <row r="19" spans="1:12">
      <c r="A19" t="s">
        <v>177</v>
      </c>
      <c r="B19" t="s">
        <v>13</v>
      </c>
      <c r="C19" t="s">
        <v>159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22</v>
      </c>
    </row>
    <row r="20" spans="1:12">
      <c r="A20" t="s">
        <v>186</v>
      </c>
      <c r="B20" t="s">
        <v>13</v>
      </c>
      <c r="C20" t="s">
        <v>122</v>
      </c>
      <c r="D20" t="s">
        <v>187</v>
      </c>
      <c r="E20" t="s">
        <v>188</v>
      </c>
      <c r="F20" t="s">
        <v>189</v>
      </c>
      <c r="G20" t="s">
        <v>190</v>
      </c>
      <c r="H20" s="1" t="s">
        <v>191</v>
      </c>
      <c r="I20" t="s">
        <v>192</v>
      </c>
      <c r="J20" t="s">
        <v>193</v>
      </c>
      <c r="K20" t="s">
        <v>194</v>
      </c>
      <c r="L20" t="s">
        <v>22</v>
      </c>
    </row>
    <row r="21" spans="1:12">
      <c r="A21" t="s">
        <v>195</v>
      </c>
      <c r="B21" t="s">
        <v>13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s="1" t="s">
        <v>201</v>
      </c>
      <c r="I21" t="s">
        <v>202</v>
      </c>
      <c r="J21" t="s">
        <v>203</v>
      </c>
      <c r="K21" t="s">
        <v>204</v>
      </c>
      <c r="L21" t="s">
        <v>22</v>
      </c>
    </row>
    <row r="22" spans="1:12">
      <c r="A22" t="s">
        <v>205</v>
      </c>
      <c r="B22" t="s">
        <v>13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s="1" t="s">
        <v>211</v>
      </c>
      <c r="I22" t="s">
        <v>212</v>
      </c>
      <c r="J22" t="s">
        <v>213</v>
      </c>
      <c r="K22" t="s">
        <v>214</v>
      </c>
      <c r="L22" t="s">
        <v>22</v>
      </c>
    </row>
    <row r="23" spans="1:12">
      <c r="A23" t="s">
        <v>215</v>
      </c>
      <c r="B23" t="s">
        <v>13</v>
      </c>
      <c r="C23" t="s">
        <v>216</v>
      </c>
      <c r="D23" t="s">
        <v>45</v>
      </c>
      <c r="E23" t="s">
        <v>217</v>
      </c>
      <c r="F23" t="s">
        <v>218</v>
      </c>
      <c r="G23" t="s">
        <v>219</v>
      </c>
      <c r="H23" s="1" t="s">
        <v>220</v>
      </c>
      <c r="I23" t="s">
        <v>221</v>
      </c>
      <c r="J23" t="s">
        <v>222</v>
      </c>
      <c r="K23" t="s">
        <v>223</v>
      </c>
      <c r="L23" t="s">
        <v>22</v>
      </c>
    </row>
    <row r="24" spans="1:12">
      <c r="A24" t="s">
        <v>224</v>
      </c>
      <c r="B24" t="s">
        <v>13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s="1" t="s">
        <v>230</v>
      </c>
      <c r="I24" t="s">
        <v>231</v>
      </c>
      <c r="J24" t="s">
        <v>232</v>
      </c>
      <c r="K24" t="s">
        <v>233</v>
      </c>
      <c r="L24" t="s">
        <v>22</v>
      </c>
    </row>
    <row r="25" spans="1:12" ht="15">
      <c r="A25" t="s">
        <v>234</v>
      </c>
      <c r="B25" t="s">
        <v>13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 s="1" t="s">
        <v>240</v>
      </c>
      <c r="I25" t="s">
        <v>241</v>
      </c>
      <c r="J25" t="s">
        <v>242</v>
      </c>
      <c r="K25" t="s">
        <v>243</v>
      </c>
      <c r="L25" t="s">
        <v>22</v>
      </c>
    </row>
    <row r="26" spans="1:12" ht="15">
      <c r="A26" t="s">
        <v>244</v>
      </c>
      <c r="B26" t="s">
        <v>13</v>
      </c>
      <c r="C26" t="s">
        <v>169</v>
      </c>
      <c r="D26" t="s">
        <v>45</v>
      </c>
      <c r="E26" t="s">
        <v>245</v>
      </c>
      <c r="F26" t="s">
        <v>246</v>
      </c>
      <c r="G26" t="s">
        <v>247</v>
      </c>
      <c r="H26" s="1" t="s">
        <v>248</v>
      </c>
      <c r="I26" t="s">
        <v>249</v>
      </c>
      <c r="J26" t="s">
        <v>250</v>
      </c>
      <c r="K26" t="s">
        <v>251</v>
      </c>
      <c r="L26" t="s">
        <v>22</v>
      </c>
    </row>
    <row r="27" spans="1:12" ht="15">
      <c r="A27" t="s">
        <v>252</v>
      </c>
      <c r="B27" t="s">
        <v>13</v>
      </c>
      <c r="C27" t="s">
        <v>253</v>
      </c>
      <c r="D27" t="s">
        <v>226</v>
      </c>
      <c r="E27" t="s">
        <v>254</v>
      </c>
      <c r="F27" t="s">
        <v>255</v>
      </c>
      <c r="G27" t="s">
        <v>256</v>
      </c>
      <c r="H27" s="1" t="s">
        <v>257</v>
      </c>
      <c r="I27" t="s">
        <v>258</v>
      </c>
      <c r="J27" t="s">
        <v>259</v>
      </c>
      <c r="K27" t="s">
        <v>260</v>
      </c>
      <c r="L27" t="s">
        <v>22</v>
      </c>
    </row>
    <row r="28" spans="1:12" ht="15">
      <c r="A28" s="15" t="s">
        <v>261</v>
      </c>
      <c r="B28" t="s">
        <v>13</v>
      </c>
      <c r="C28" t="s">
        <v>262</v>
      </c>
      <c r="D28" t="s">
        <v>263</v>
      </c>
      <c r="E28" t="s">
        <v>264</v>
      </c>
      <c r="H28" s="1"/>
      <c r="I28" t="s">
        <v>265</v>
      </c>
    </row>
  </sheetData>
  <hyperlinks>
    <hyperlink ref="H20" r:id="rId1" xr:uid="{4DFC97C4-0FBD-4E5D-BF4A-87CF0927319F}"/>
  </hyperlinks>
  <pageMargins left="0.7" right="0.7" top="0.75" bottom="0.75" header="0.3" footer="0.3"/>
  <headerFooter>
    <oddFooter>&amp;L_x000D_&amp;1#&amp;"Calibri"&amp;10&amp;K000000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FFE-A21E-430A-8F9D-3FDCB53E5399}">
  <dimension ref="A2:J13"/>
  <sheetViews>
    <sheetView tabSelected="1" workbookViewId="0">
      <selection activeCell="H2" sqref="H2:J8"/>
    </sheetView>
  </sheetViews>
  <sheetFormatPr defaultRowHeight="14.45"/>
  <cols>
    <col min="1" max="1" width="28.85546875" customWidth="1"/>
    <col min="2" max="2" width="31.42578125" customWidth="1"/>
    <col min="5" max="5" width="21.42578125" bestFit="1" customWidth="1"/>
    <col min="8" max="8" width="21.28515625" customWidth="1"/>
    <col min="9" max="9" width="9.7109375" customWidth="1"/>
  </cols>
  <sheetData>
    <row r="2" spans="1:10">
      <c r="H2" t="s">
        <v>266</v>
      </c>
    </row>
    <row r="3" spans="1:10">
      <c r="A3" t="s">
        <v>267</v>
      </c>
      <c r="B3" t="s">
        <v>268</v>
      </c>
      <c r="C3" t="s">
        <v>269</v>
      </c>
      <c r="E3" s="4" t="s">
        <v>270</v>
      </c>
      <c r="H3" s="5" t="s">
        <v>271</v>
      </c>
      <c r="I3" s="5" t="s">
        <v>269</v>
      </c>
      <c r="J3" s="5" t="s">
        <v>272</v>
      </c>
    </row>
    <row r="4" spans="1:10" ht="15.6">
      <c r="A4" s="2" t="s">
        <v>273</v>
      </c>
      <c r="B4" s="2" t="s">
        <v>149</v>
      </c>
      <c r="C4">
        <v>1</v>
      </c>
      <c r="E4" s="2" t="s">
        <v>273</v>
      </c>
      <c r="F4">
        <f>SUMIF((A:A),"Assy Defect", (C:C))</f>
        <v>4</v>
      </c>
      <c r="H4" s="6" t="str" cm="1">
        <f t="array" ref="H4:I8">_xlfn._xlws.SORT(
_xlfn._xlws.FILTER(E4:F27, F4:F27 &gt;= SMALL(_xlfn.UNIQUE(F4:F27), MIN(1, COUNTA(_xlfn.UNIQUE(F4:F27))))),
2, -1
)</f>
        <v>Assy Defect</v>
      </c>
      <c r="I4" s="7">
        <v>4</v>
      </c>
      <c r="J4" s="10">
        <v>1</v>
      </c>
    </row>
    <row r="5" spans="1:10" ht="15.6">
      <c r="A5" s="2" t="s">
        <v>274</v>
      </c>
      <c r="B5" s="2" t="s">
        <v>169</v>
      </c>
      <c r="C5">
        <v>1</v>
      </c>
      <c r="E5" s="2" t="s">
        <v>140</v>
      </c>
      <c r="F5">
        <f>SUMIF((A:A),"Noise", (C:C))</f>
        <v>1</v>
      </c>
      <c r="H5" s="6" t="str">
        <v>PH Defect</v>
      </c>
      <c r="I5" s="7">
        <v>3</v>
      </c>
      <c r="J5" s="10">
        <v>2</v>
      </c>
    </row>
    <row r="6" spans="1:10" ht="15.6">
      <c r="A6" s="2" t="s">
        <v>273</v>
      </c>
      <c r="B6" s="2" t="s">
        <v>196</v>
      </c>
      <c r="C6">
        <v>1</v>
      </c>
      <c r="E6" s="2" t="s">
        <v>122</v>
      </c>
      <c r="F6">
        <f>SUMIF((A:A),"Paper out error", (C:C))</f>
        <v>2</v>
      </c>
      <c r="H6" s="6" t="str">
        <v>Paper out error</v>
      </c>
      <c r="I6" s="7">
        <v>2</v>
      </c>
      <c r="J6" s="10">
        <v>3</v>
      </c>
    </row>
    <row r="7" spans="1:10" ht="15.6">
      <c r="A7" s="2" t="s">
        <v>273</v>
      </c>
      <c r="B7" s="2" t="s">
        <v>131</v>
      </c>
      <c r="C7">
        <v>1</v>
      </c>
      <c r="E7" s="2" t="s">
        <v>274</v>
      </c>
      <c r="F7">
        <f>SUMIF((A:A),"PH Defect", (C:C))</f>
        <v>3</v>
      </c>
      <c r="H7" s="8" t="str">
        <v>Stacker  sensor error</v>
      </c>
      <c r="I7" s="9">
        <v>2</v>
      </c>
      <c r="J7" s="11">
        <v>4</v>
      </c>
    </row>
    <row r="8" spans="1:10" ht="15.6">
      <c r="A8" s="2" t="s">
        <v>140</v>
      </c>
      <c r="B8" s="2" t="s">
        <v>140</v>
      </c>
      <c r="C8">
        <v>1</v>
      </c>
      <c r="E8" s="2" t="s">
        <v>159</v>
      </c>
      <c r="F8">
        <f>SUMIF((A:A),"Stacker  sensor error", (C:C))</f>
        <v>2</v>
      </c>
      <c r="H8" s="8" t="str">
        <v>Noise</v>
      </c>
      <c r="I8" s="3">
        <v>1</v>
      </c>
      <c r="J8" s="11">
        <v>5</v>
      </c>
    </row>
    <row r="9" spans="1:10" ht="15.6">
      <c r="A9" s="2" t="s">
        <v>274</v>
      </c>
      <c r="B9" s="2" t="s">
        <v>225</v>
      </c>
      <c r="C9">
        <v>1</v>
      </c>
      <c r="H9" s="12"/>
      <c r="I9" s="13"/>
      <c r="J9" s="14"/>
    </row>
    <row r="10" spans="1:10">
      <c r="A10" s="2" t="s">
        <v>122</v>
      </c>
      <c r="B10" s="2" t="s">
        <v>122</v>
      </c>
      <c r="C10">
        <v>2</v>
      </c>
      <c r="I10" s="13"/>
      <c r="J10" s="14"/>
    </row>
    <row r="11" spans="1:10">
      <c r="A11" s="2" t="s">
        <v>273</v>
      </c>
      <c r="B11" s="2" t="s">
        <v>206</v>
      </c>
      <c r="C11">
        <v>1</v>
      </c>
      <c r="I11" s="13"/>
      <c r="J11" s="14"/>
    </row>
    <row r="12" spans="1:10">
      <c r="A12" s="2" t="s">
        <v>274</v>
      </c>
      <c r="B12" s="2" t="s">
        <v>216</v>
      </c>
      <c r="C12">
        <v>1</v>
      </c>
      <c r="I12" s="13"/>
      <c r="J12" s="14"/>
    </row>
    <row r="13" spans="1:10">
      <c r="A13" s="2" t="s">
        <v>159</v>
      </c>
      <c r="B13" s="2" t="s">
        <v>159</v>
      </c>
      <c r="C1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f36dea-5328-491a-adcb-36ca29f78892" xsi:nil="true"/>
    <lcf76f155ced4ddcb4097134ff3c332f xmlns="6577cd57-57e6-4752-a34d-f43504cc8d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6E6067AF7EFE74DA6E127ADE76DD75E" ma:contentTypeVersion="12" ma:contentTypeDescription="新しいドキュメントを作成します。" ma:contentTypeScope="" ma:versionID="ca7a3a13d2ead69a89fd3053a2e228b3">
  <xsd:schema xmlns:xsd="http://www.w3.org/2001/XMLSchema" xmlns:xs="http://www.w3.org/2001/XMLSchema" xmlns:p="http://schemas.microsoft.com/office/2006/metadata/properties" xmlns:ns2="6577cd57-57e6-4752-a34d-f43504cc8d69" xmlns:ns3="13f36dea-5328-491a-adcb-36ca29f78892" targetNamespace="http://schemas.microsoft.com/office/2006/metadata/properties" ma:root="true" ma:fieldsID="30a28b6ea109e3206804225745e17e8b" ns2:_="" ns3:_="">
    <xsd:import namespace="6577cd57-57e6-4752-a34d-f43504cc8d69"/>
    <xsd:import namespace="13f36dea-5328-491a-adcb-36ca29f7889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7cd57-57e6-4752-a34d-f43504cc8d6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8d2388fb-6a4c-448f-b0f9-371295e75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36dea-5328-491a-adcb-36ca29f7889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e128294-0fae-47b8-8501-c95eff9dddce}" ma:internalName="TaxCatchAll" ma:showField="CatchAllData" ma:web="13f36dea-5328-491a-adcb-36ca29f7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A8D3A-92AC-4D36-B915-7F2CBC455FA2}"/>
</file>

<file path=customXml/itemProps2.xml><?xml version="1.0" encoding="utf-8"?>
<ds:datastoreItem xmlns:ds="http://schemas.openxmlformats.org/officeDocument/2006/customXml" ds:itemID="{A1076477-069F-4E67-AE31-7AA9A64E6E9A}"/>
</file>

<file path=customXml/itemProps3.xml><?xml version="1.0" encoding="utf-8"?>
<ds:datastoreItem xmlns:ds="http://schemas.openxmlformats.org/officeDocument/2006/customXml" ds:itemID="{87295ACA-9502-44B3-A398-81D9AC0FFCE2}"/>
</file>

<file path=docMetadata/LabelInfo.xml><?xml version="1.0" encoding="utf-8"?>
<clbl:labelList xmlns:clbl="http://schemas.microsoft.com/office/2020/mipLabelMetadata">
  <clbl:label id="{549229e1-d9eb-40cf-aa20-8039fe5d6144}" enabled="1" method="Privileged" siteId="{3ce358ea-700e-4f0f-bb37-fd0b7c2136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Ramdhani</cp:lastModifiedBy>
  <cp:revision/>
  <dcterms:created xsi:type="dcterms:W3CDTF">2024-11-23T10:04:42Z</dcterms:created>
  <dcterms:modified xsi:type="dcterms:W3CDTF">2025-11-11T07:30:13Z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0x010100E6E6067AF7EFE74DA6E127ADE76DD75E</vt:lpwstr>
  </property>
  <property fmtid="{D5CDD505-2E9C-101B-9397-08002B2CF9AE}" pid="3" name="MediaServiceImageTags">
    <vt:lpwstr/>
  </property>
</Properties>
</file>