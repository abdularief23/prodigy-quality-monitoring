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updateLinks="always"/>
  <mc:AlternateContent xmlns:mc="http://schemas.openxmlformats.org/markup-compatibility/2006">
    <mc:Choice Requires="x15">
      <x15ac:absPath xmlns:x15ac="http://schemas.microsoft.com/office/spreadsheetml/2010/11/ac" url="https://epsongroup.sharepoint.com/sites/IEI-os-Teams-E3ProdEng_OtaKu/Shared Documents/In Process Defect Follow Up/"/>
    </mc:Choice>
  </mc:AlternateContent>
  <xr:revisionPtr revIDLastSave="2471" documentId="11_C81C7FBC6D2F338960D1E5AD1A1FC1D8D3FDAF3F" xr6:coauthVersionLast="47" xr6:coauthVersionMax="47" xr10:uidLastSave="{7C4B27A5-8F18-4D90-9D66-17A4DF0C729F}"/>
  <bookViews>
    <workbookView xWindow="-108" yWindow="-108" windowWidth="23256" windowHeight="12456" firstSheet="6" activeTab="6" xr2:uid="{00000000-000D-0000-FFFF-FFFF00000000}"/>
  </bookViews>
  <sheets>
    <sheet name="Sheet1" sheetId="1" r:id="rId1"/>
    <sheet name="Sheet2" sheetId="2" r:id="rId2"/>
    <sheet name="Sheet3" sheetId="3" r:id="rId3"/>
    <sheet name="Sheet4" sheetId="4" r:id="rId4"/>
    <sheet name="Sheet6" sheetId="6" r:id="rId5"/>
    <sheet name="Sheet5" sheetId="5" r:id="rId6"/>
    <sheet name="Sheet7" sheetId="7" r:id="rId7"/>
  </sheets>
  <definedNames>
    <definedName name="_xlnm._FilterDatabase" localSheetId="5" hidden="1">Sheet5!$H$3:$I$6</definedName>
  </definedNames>
  <calcPr calcId="191028"/>
  <pivotCaches>
    <pivotCache cacheId="16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6" i="1" l="1"/>
  <c r="H305" i="1"/>
  <c r="H304" i="1"/>
  <c r="H303" i="1"/>
  <c r="H302" i="1"/>
  <c r="H300" i="1"/>
  <c r="H299" i="1"/>
  <c r="H297" i="1"/>
  <c r="H291" i="1"/>
  <c r="H290" i="1"/>
  <c r="H289" i="1"/>
  <c r="H288" i="1"/>
  <c r="H286" i="1"/>
  <c r="H284" i="1"/>
  <c r="H283" i="1"/>
  <c r="H282" i="1"/>
  <c r="H281" i="1"/>
  <c r="H280" i="1"/>
  <c r="H267" i="1"/>
  <c r="V201" i="1" a="1"/>
  <c r="V201" i="1" s="1"/>
  <c r="F27" i="5" l="1"/>
  <c r="F26" i="5"/>
  <c r="F25" i="5"/>
  <c r="F24" i="5"/>
  <c r="F23" i="5"/>
  <c r="F22" i="5"/>
  <c r="F21" i="5"/>
  <c r="F20" i="5"/>
  <c r="F19" i="5"/>
  <c r="F18" i="5"/>
  <c r="F17" i="5"/>
  <c r="F16" i="5"/>
  <c r="F15" i="5"/>
  <c r="F14" i="5"/>
  <c r="F13" i="5"/>
  <c r="F12" i="5"/>
  <c r="F11" i="5"/>
  <c r="F10" i="5"/>
  <c r="F9" i="5"/>
  <c r="F8" i="5"/>
  <c r="F7" i="5"/>
  <c r="F6" i="5"/>
  <c r="F5" i="5"/>
  <c r="F4" i="5"/>
  <c r="H4" i="5" s="1" a="1"/>
  <c r="H4" i="5" s="1"/>
  <c r="V93" i="1" a="1"/>
  <c r="V93"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90" i="1"/>
  <c r="C3" i="4"/>
  <c r="C42" i="2" l="1"/>
  <c r="C43" i="2"/>
  <c r="C44" i="2"/>
  <c r="C45" i="2"/>
  <c r="C46" i="2"/>
  <c r="C30" i="2"/>
  <c r="C27" i="2"/>
  <c r="C24" i="2"/>
  <c r="C19" i="2"/>
  <c r="C4" i="2"/>
  <c r="C5" i="2"/>
  <c r="C17" i="2"/>
  <c r="C22" i="2"/>
  <c r="C28" i="2"/>
  <c r="C18" i="2"/>
  <c r="C2" i="2"/>
  <c r="C20" i="2"/>
  <c r="C7" i="2"/>
  <c r="C10" i="2"/>
  <c r="C14" i="2"/>
  <c r="C25" i="2"/>
  <c r="C12" i="2"/>
  <c r="C16" i="2"/>
  <c r="C32" i="2"/>
  <c r="C13" i="2"/>
  <c r="C8" i="2"/>
  <c r="C23" i="2"/>
  <c r="C31" i="2"/>
  <c r="C15" i="2"/>
  <c r="C3" i="2"/>
  <c r="C9" i="2"/>
  <c r="C40" i="2"/>
  <c r="C26" i="2"/>
  <c r="C33" i="2"/>
  <c r="C38" i="2"/>
  <c r="C39" i="2"/>
  <c r="C41" i="2"/>
  <c r="C11" i="2"/>
  <c r="C37" i="2"/>
  <c r="C36" i="2"/>
  <c r="C35" i="2"/>
  <c r="C34" i="2"/>
  <c r="C29" i="2"/>
  <c r="C6" i="2"/>
  <c r="C21" i="2"/>
  <c r="L30" i="1"/>
  <c r="L76" i="1"/>
  <c r="L78" i="1"/>
  <c r="L79" i="1"/>
  <c r="L81" i="1"/>
  <c r="L23" i="1"/>
  <c r="L61" i="1"/>
  <c r="G1" i="2" l="1"/>
  <c r="D20" i="2" s="1"/>
  <c r="F20" i="2" s="1"/>
  <c r="D10" i="2"/>
  <c r="F10" i="2" s="1"/>
  <c r="D30" i="2"/>
  <c r="F30" i="2" s="1"/>
  <c r="D33" i="2"/>
  <c r="F33" i="2" s="1"/>
  <c r="D25" i="2"/>
  <c r="F25" i="2" s="1"/>
  <c r="D12" i="2"/>
  <c r="F12" i="2" s="1"/>
  <c r="D31" i="2"/>
  <c r="F31" i="2" s="1"/>
  <c r="D27" i="2"/>
  <c r="F27" i="2" s="1"/>
  <c r="D26" i="2"/>
  <c r="F26" i="2" s="1"/>
  <c r="D2" i="2"/>
  <c r="F2" i="2" s="1"/>
  <c r="D4" i="2"/>
  <c r="F4" i="2" s="1"/>
  <c r="D16" i="2"/>
  <c r="F16" i="2" s="1"/>
  <c r="D18" i="2"/>
  <c r="F18" i="2" s="1"/>
  <c r="D3" i="2"/>
  <c r="F3" i="2" s="1"/>
  <c r="D22" i="2"/>
  <c r="F22" i="2" s="1"/>
  <c r="D35" i="2"/>
  <c r="F35" i="2" s="1"/>
  <c r="D36" i="2"/>
  <c r="F36" i="2" s="1"/>
  <c r="D11" i="2"/>
  <c r="F11" i="2" s="1"/>
  <c r="D41" i="2"/>
  <c r="F41" i="2" s="1"/>
  <c r="D39" i="2" l="1"/>
  <c r="F39" i="2" s="1"/>
  <c r="D37" i="2"/>
  <c r="F37" i="2" s="1"/>
  <c r="D34" i="2"/>
  <c r="F34" i="2" s="1"/>
  <c r="D15" i="2"/>
  <c r="F15" i="2" s="1"/>
  <c r="D17" i="2"/>
  <c r="F17" i="2" s="1"/>
  <c r="D24" i="2"/>
  <c r="F24" i="2" s="1"/>
  <c r="D14" i="2"/>
  <c r="F14" i="2" s="1"/>
  <c r="D5" i="2"/>
  <c r="F5" i="2" s="1"/>
  <c r="D9" i="2"/>
  <c r="F9" i="2" s="1"/>
  <c r="L84" i="1"/>
  <c r="L85" i="1"/>
  <c r="L17" i="1"/>
  <c r="L69" i="1"/>
  <c r="D46" i="2"/>
  <c r="D45" i="2"/>
  <c r="D44" i="2"/>
  <c r="D43" i="2"/>
  <c r="D42" i="2"/>
  <c r="D19" i="2"/>
  <c r="F19" i="2" s="1"/>
  <c r="D21" i="2"/>
  <c r="F21" i="2" s="1"/>
  <c r="D29" i="2"/>
  <c r="F29" i="2" s="1"/>
  <c r="D6" i="2"/>
  <c r="F6" i="2" s="1"/>
  <c r="D28" i="2"/>
  <c r="F28" i="2" s="1"/>
  <c r="D8" i="2"/>
  <c r="F8" i="2" s="1"/>
  <c r="L11" i="1" s="1"/>
  <c r="D13" i="2"/>
  <c r="F13" i="2" s="1"/>
  <c r="D40" i="2"/>
  <c r="F40" i="2" s="1"/>
  <c r="D38" i="2"/>
  <c r="F38" i="2" s="1"/>
  <c r="D7" i="2"/>
  <c r="F7" i="2" s="1"/>
  <c r="D32" i="2"/>
  <c r="F32" i="2" s="1"/>
  <c r="D23" i="2"/>
  <c r="F23" i="2" s="1"/>
  <c r="L29" i="1"/>
  <c r="L33" i="1"/>
  <c r="L43" i="1"/>
  <c r="L50" i="1"/>
  <c r="L67" i="1"/>
  <c r="L71" i="1"/>
  <c r="L72" i="1"/>
  <c r="L14" i="1"/>
  <c r="L15" i="1"/>
  <c r="L25" i="1"/>
  <c r="L35" i="1"/>
  <c r="L36" i="1"/>
  <c r="L39" i="1"/>
  <c r="L49" i="1"/>
  <c r="L68" i="1"/>
  <c r="L47" i="1"/>
  <c r="L52" i="1"/>
  <c r="L22" i="1"/>
  <c r="L63" i="1"/>
  <c r="L90" i="1"/>
  <c r="L28" i="1"/>
  <c r="L88" i="1"/>
  <c r="L18" i="1"/>
  <c r="L91" i="1"/>
  <c r="L82" i="1"/>
  <c r="L83" i="1"/>
  <c r="L77" i="1"/>
  <c r="L10" i="1"/>
  <c r="L26" i="1"/>
  <c r="L40" i="1"/>
  <c r="L45" i="1"/>
  <c r="L46" i="1"/>
  <c r="L19" i="1"/>
  <c r="L41" i="1"/>
  <c r="L12" i="1"/>
  <c r="L32" i="1"/>
  <c r="L37" i="1"/>
  <c r="L4" i="1"/>
  <c r="L38" i="1"/>
  <c r="L27" i="1"/>
  <c r="L34" i="1"/>
  <c r="L2" i="1"/>
  <c r="L42" i="1"/>
  <c r="L58" i="1"/>
  <c r="L62" i="1"/>
  <c r="L65" i="1"/>
  <c r="L57" i="1"/>
  <c r="L59" i="1"/>
  <c r="L60" i="1"/>
  <c r="L64" i="1"/>
  <c r="L7" i="1"/>
  <c r="L31" i="1"/>
  <c r="L53" i="1"/>
  <c r="L66" i="1" l="1"/>
  <c r="L80" i="1"/>
  <c r="L8" i="1"/>
  <c r="L86" i="1"/>
  <c r="L3" i="1"/>
  <c r="L16" i="1"/>
  <c r="L6" i="1"/>
  <c r="L70" i="1"/>
  <c r="L13" i="1"/>
  <c r="L51" i="1"/>
  <c r="L87" i="1"/>
  <c r="L89" i="1"/>
  <c r="L54" i="1"/>
  <c r="L9" i="1"/>
  <c r="L20" i="1"/>
  <c r="L75" i="1"/>
  <c r="L44" i="1"/>
  <c r="L74" i="1"/>
  <c r="L56" i="1"/>
  <c r="L73" i="1"/>
  <c r="L55" i="1"/>
  <c r="L24" i="1"/>
  <c r="L21" i="1"/>
  <c r="L48" i="1"/>
  <c r="L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<sst xmlns="http://schemas.openxmlformats.org/spreadsheetml/2006/main" count="5897" uniqueCount="2812">
  <si>
    <t>Request No</t>
  </si>
  <si>
    <t>RCA No</t>
  </si>
  <si>
    <t>Date_of_Request</t>
  </si>
  <si>
    <t>Date_of_Report</t>
  </si>
  <si>
    <t>Model</t>
  </si>
  <si>
    <t>Customer</t>
  </si>
  <si>
    <t>Serial Number</t>
  </si>
  <si>
    <t>Def_ID</t>
  </si>
  <si>
    <t>Official_Defect_Name</t>
  </si>
  <si>
    <t>Defect Category</t>
  </si>
  <si>
    <t>Defect Name</t>
  </si>
  <si>
    <t>Severity_Level</t>
  </si>
  <si>
    <t>Detect_By</t>
  </si>
  <si>
    <t>Stage</t>
  </si>
  <si>
    <t>During_Process</t>
  </si>
  <si>
    <t>How_Much</t>
  </si>
  <si>
    <t>Main_Impact</t>
  </si>
  <si>
    <t>Phenomenon</t>
  </si>
  <si>
    <t>Verify Phenomenon</t>
  </si>
  <si>
    <t>Link Photo of Phenomenon</t>
  </si>
  <si>
    <t>Url Photo</t>
  </si>
  <si>
    <t>Task Id</t>
  </si>
  <si>
    <t>Analyze_Process</t>
  </si>
  <si>
    <t>Part_Replacement</t>
  </si>
  <si>
    <t>Materials</t>
  </si>
  <si>
    <t>Machine/Jig</t>
  </si>
  <si>
    <t>Man</t>
  </si>
  <si>
    <t>Methode</t>
  </si>
  <si>
    <t>4M_Potential_Cause</t>
  </si>
  <si>
    <t>W0</t>
  </si>
  <si>
    <t>W1</t>
  </si>
  <si>
    <t>W2</t>
  </si>
  <si>
    <t>W3</t>
  </si>
  <si>
    <t>W4</t>
  </si>
  <si>
    <t>5-Why_Analyze</t>
  </si>
  <si>
    <t>Root Cause</t>
  </si>
  <si>
    <t>Corrective_Action</t>
  </si>
  <si>
    <t>Preventive_Action</t>
  </si>
  <si>
    <t>Action Item</t>
  </si>
  <si>
    <t>Created By</t>
  </si>
  <si>
    <t>AR241125015913</t>
  </si>
  <si>
    <t>Takatsu-8 Autocutter</t>
  </si>
  <si>
    <t>Abnormal PGU Movement</t>
  </si>
  <si>
    <t>Operator</t>
  </si>
  <si>
    <t>STAGE PH 2</t>
  </si>
  <si>
    <t>PGU seret saat open/close .</t>
  </si>
  <si>
    <t>AR241128030530</t>
  </si>
  <si>
    <t>Takatsu-4 Autocutter</t>
  </si>
  <si>
    <t>DO</t>
  </si>
  <si>
    <t>PRINTING</t>
  </si>
  <si>
    <t>Jig 6</t>
  </si>
  <si>
    <t>AR241128030601</t>
  </si>
  <si>
    <t>Jig 2</t>
  </si>
  <si>
    <t>AR241128081950</t>
  </si>
  <si>
    <t>DMAH</t>
  </si>
  <si>
    <t>Jig 07</t>
  </si>
  <si>
    <t>AR241202103435</t>
  </si>
  <si>
    <t>Fatal Error 6727</t>
  </si>
  <si>
    <t>STG PRINTING</t>
  </si>
  <si>
    <t xml:space="preserve">Setelah power on di stg printing </t>
  </si>
  <si>
    <t>Fatal error 006727</t>
  </si>
  <si>
    <t>[{"name":"6727_Nazar Bagus H..jpg","link":"https://epsongroup-my.sharepoint.com/personal/brian_ramdhani_epson_co_id/Documents/Apps/Microsoft%20Forms/TAKATSU%20ANALYZE%20REPORT/Question/6727_Nazar%20Bagus%20H..jpg","id":"01D6UVHSNVD5QK3KJ5KFBYH3PWNW7ZBPXN","type":null,"size":112887,"referenceId":"01D6UVHSOX5DG5RX522VGYFCV365U3UBU3","driveId":"b!7qg8FsnQY0iiT36_x6Novv_3J9v4MtxPsytkCbb-ZPz3ScQFcxKeSqI2jw7AAtnZ","status":1,"uploadSessionUrl":null}]</t>
  </si>
  <si>
    <t>https://epsongroup-my.sharepoint.com/personal/brian_ramdhani_epson_co_id/Documents/Apps/Microsoft%20Forms/TAKATSU%20ANALYZE%20REPORT/Question/6727_Nazar%20Bagus%20H..jpg</t>
  </si>
  <si>
    <t>Change CH77 Main</t>
  </si>
  <si>
    <t>AR241203025422</t>
  </si>
  <si>
    <t>Paper Jam</t>
  </si>
  <si>
    <t xml:space="preserve">STG PRINTING </t>
  </si>
  <si>
    <t>Saat setting paper</t>
  </si>
  <si>
    <t>During printing menu nozzle check at printing stage, found paper jam</t>
  </si>
  <si>
    <t>[{"name":"Picture2_Zainul Muttaqin.png","link":"https://epsongroup-my.sharepoint.com/personal/brian_ramdhani_epson_co_id/Documents/Apps/Microsoft%20Forms/TAKATSU%20ANALYZE%20REPORT/Question/Picture2_Zainul%20Muttaqin.png","id":"01D6UVHSM3PCHREI7VGZBISCMYTDIFXVQJ","type":null,"size":909786,"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</si>
  <si>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https://epsongroup-my.sharepoint.com/personal/brian_ramdhani_epson_co_id/Documents/Apps/Microsoft%20Forms/TAKATSU%20ANALYZE%20REPORT/Question/Picture2_Zainul%20Muttaqin.png</t>
  </si>
  <si>
    <t>u6lneZPVp0uCYlaPVWhPOMgACrgC</t>
  </si>
  <si>
    <t>Harness connection Paper Jam Detect was broken, release soldering</t>
  </si>
  <si>
    <t>Reminding OPR to carefully during arrange harness connection Paper Jam Detect, and follow SWP</t>
  </si>
  <si>
    <t>Zainul Muttaqin</t>
  </si>
  <si>
    <t>AR241203090108</t>
  </si>
  <si>
    <t>PF Measurement NG</t>
  </si>
  <si>
    <t>STG PG</t>
  </si>
  <si>
    <t>Saat proses pf measurment</t>
  </si>
  <si>
    <t>During PF Measurement, found Result NG (PF MEASURMENT NG (maincalculation error Aveti_L over))</t>
  </si>
  <si>
    <t>[{"name":"PF OK_Nazar Bagus H..jpg","link":"https://epsongroup-my.sharepoint.com/personal/brian_ramdhani_epson_co_id/Documents/Apps/Microsoft%20Forms/TAKATSU%20ANALYZE%20REPORT/Question/PF%20OK_Nazar%20Bagus%20H..jpg","id":"01D6UVHSKD2J6IUD5FNFBZ7T7TWAUQ4ANP","type":null,"size":77030,"referenceId":"01D6UVHSOX5DG5RX522VGYFCV365U3UBU3","driveId":"b!7qg8FsnQY0iiT36_x6Novv_3J9v4MtxPsytkCbb-ZPz3ScQFcxKeSqI2jw7AAtnZ","status":1,"uploadSessionUrl":null}]</t>
  </si>
  <si>
    <t>https://epsongroup-my.sharepoint.com/personal/brian_ramdhani_epson_co_id/Documents/Apps/Microsoft%20Forms/TAKATSU%20ANALYZE%20REPORT/Question/PF%20OK_Nazar%20Bagus%20H..jpg</t>
  </si>
  <si>
    <t>edT7obW9EEalpfTUGsfyw8gAGX1k</t>
  </si>
  <si>
    <t>Re Check in Line 5x OK (Pn/n : 0/5)  --&gt; 4M New Man Power MA04 --&gt; Re Educate Man Power to Ensure Belt Tension meet Specification --&gt; Continue Monitoring</t>
  </si>
  <si>
    <t>Nazar Bagus H.</t>
  </si>
  <si>
    <t>AR241204120145</t>
  </si>
  <si>
    <t>MNU Measurement NG</t>
  </si>
  <si>
    <t>PG</t>
  </si>
  <si>
    <t>E (Saat proses MNU MEASURMENT)</t>
  </si>
  <si>
    <t>When MNU Measurement Check, hear Noise different with other product</t>
  </si>
  <si>
    <t>[{"name":"Screenshot_20241206_134121_Sound Meter_Rio Rizki Khanigia.jpg","link":"https://epsongroup-my.sharepoint.com/personal/brian_ramdhani_epson_co_id/Documents/Apps/Microsoft%20Forms/TAKATSU%20ANALYZE%20REPORT/Question/Screenshot_20241206_134121_Sound%20Meter_Rio%20Rizki%20Khanigia.jpg","id":"01D6UVHSK2UZPBHIQLP5GI5MPXIZQOFUIZ","type":null,"size":150672,"referenceId":"01D6UVHSOX5DG5RX522VGYFCV365U3UBU3","driveId":"b!7qg8FsnQY0iiT36_x6Novv_3J9v4MtxPsytkCbb-ZPz3ScQFcxKeSqI2jw7AAtnZ","status":1,"uploadSessionUrl":null}]</t>
  </si>
  <si>
    <t>https://epsongroup-my.sharepoint.com/personal/brian_ramdhani_epson_co_id/Documents/Apps/Microsoft%20Forms/TAKATSU%20ANALYZE%20REPORT/Question/Screenshot_20241206_134121_Sound%20Meter_Rio%20Rizki%20Khanigia.jpg</t>
  </si>
  <si>
    <t>kipjsswdQUKJRBkJRQ3JW8gAFdkV</t>
  </si>
  <si>
    <t>Operator Over judgement during MNU Measurement. We already check with db Meter (Nilai Kebisingan), result measurement OK and NG same value (81-86 db), and not any STD noise db for MNU measurement</t>
  </si>
  <si>
    <t>Continue production refer to db meter check OK and NG product same (81-86 db)</t>
  </si>
  <si>
    <t>Rio Rizki Khanigia</t>
  </si>
  <si>
    <t>AR241205084758</t>
  </si>
  <si>
    <t>Still analize</t>
  </si>
  <si>
    <t>PGU Seret saat fitting check di mechanism</t>
  </si>
  <si>
    <t>[{"name":"PGU Seret_Nazar Bagus H..jpg","link":"https://epsongroup-my.sharepoint.com/personal/brian_ramdhani_epson_co_id/Documents/Apps/Microsoft%20Forms/TAKATSU%20ANALYZE%20REPORT/Question/PGU%20Seret_Nazar%20Bagus%20H..jpg","id":"01D6UVHSKA7KYKTWPB3ZDZMTLK3UF2K4KV","type":null,"size":52789,"referenceId":"01D6UVHSOX5DG5RX522VGYFCV365U3UBU3","driveId":"b!7qg8FsnQY0iiT36_x6Novv_3J9v4MtxPsytkCbb-ZPz3ScQFcxKeSqI2jw7AAtnZ","status":1,"uploadSessionUrl":null}]</t>
  </si>
  <si>
    <t>https://epsongroup-my.sharepoint.com/personal/brian_ramdhani_epson_co_id/Documents/Apps/Microsoft%20Forms/TAKATSU%20ANALYZE%20REPORT/Question/PGU%20Seret_Nazar%20Bagus%20H..jpg</t>
  </si>
  <si>
    <t>FWaQ3dCi2kqfGVE22BJpdMgAHYsZ</t>
  </si>
  <si>
    <t>Frame PF Right slighty not fix</t>
  </si>
  <si>
    <t>Additional Hold Frame PF Right During Screwing --&gt; Check Any Related Part CHaracter on This Phenomenon</t>
  </si>
  <si>
    <t>AR241205092813</t>
  </si>
  <si>
    <t>STG PH 2</t>
  </si>
  <si>
    <t>Stil analize</t>
  </si>
  <si>
    <t>q0NSErwdaEOccNo9iIQJt8gALOg6</t>
  </si>
  <si>
    <t>AR241205121653</t>
  </si>
  <si>
    <t>DMAV</t>
  </si>
  <si>
    <t>Found DMAV on Printing Result</t>
  </si>
  <si>
    <t>[{"name":"DMAV_Nazar Bagus H..jpg","link":"https://epsongroup-my.sharepoint.com/personal/brian_ramdhani_epson_co_id/Documents/Apps/Microsoft%20Forms/TAKATSU%20ANALYZE%20REPORT/Question/DMAV_Nazar%20Bagus%20H..jpg","id":"01D6UVHSMNWKBPD4EQCJD3NIMHNLGZORHR","type":null,"size":52376,"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</si>
  <si>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https://epsongroup-my.sharepoint.com/personal/brian_ramdhani_epson_co_id/Documents/Apps/Microsoft%20Forms/TAKATSU%20ANALYZE%20REPORT/Question/DMAV_Nazar%20Bagus%20H..jpg</t>
  </si>
  <si>
    <t>M2f-exdvGEu6yjDF0yIG4sgANkF4</t>
  </si>
  <si>
    <t>Print Head Dirty</t>
  </si>
  <si>
    <t>Wiping Print Head di Repair OK</t>
  </si>
  <si>
    <t>AR241209101122</t>
  </si>
  <si>
    <t>EXTERNAL</t>
  </si>
  <si>
    <t>PGU seret saat buka - tutup</t>
  </si>
  <si>
    <t>At External when Operator check PGU Movement, find little hard to Open</t>
  </si>
  <si>
    <t>[{"name":"20241209_115941 Copy_Rio Rizki Khanigia 1.jpg","link":"https://epsongroup-my.sharepoint.com/personal/brian_ramdhani_epson_co_id/Documents/Apps/Microsoft%20Forms/TAKATSU%20ANALYZE%20REPORT/Question/20241209_115941%20Copy_Rio%20Rizki%20Khanigia%201.jpg","id":"01D6UVHSKJ5OIIHMCOQNBLHCUW3GAFRV5Y","type":null,"size":2116186,"referenceId":"01D6UVHSOX5DG5RX522VGYFCV365U3UBU3","driveId":"b!7qg8FsnQY0iiT36_x6Novv_3J9v4MtxPsytkCbb-ZPz3ScQFcxKeSqI2jw7AAtnZ","status":1,"uploadSessionUrl":null}]</t>
  </si>
  <si>
    <t>YU41i0Rov0a-gBOezRRzGMgAL_3y</t>
  </si>
  <si>
    <t>Fixture Case Lower not Flat cause not yet POM Supporting</t>
  </si>
  <si>
    <t xml:space="preserve">Additional POM Holder at Case Lower Assembly Fixture 2 Pcs, and monitoring impact improvement with marking "D" at wagon identity product </t>
  </si>
  <si>
    <t>AR241210025830</t>
  </si>
  <si>
    <t>Shutter Check Noise</t>
  </si>
  <si>
    <t xml:space="preserve">STG PG </t>
  </si>
  <si>
    <t>Saat proses shutter chek</t>
  </si>
  <si>
    <t>hwwsGexcqkyBCQ4x7IWK0cgAOnhK</t>
  </si>
  <si>
    <t>AR241210052057</t>
  </si>
  <si>
    <t xml:space="preserve">Saat proses pg </t>
  </si>
  <si>
    <t>During shutter check at PG Stage, found noise platen near on spur gear platen area (Pn/n: 2/35)</t>
  </si>
  <si>
    <t>[{"name":"Shutter Noise caused by Spur Gear_Zainul Muttaqin.jpg","link":"https://epsongroup-my.sharepoint.com/personal/brian_ramdhani_epson_co_id/Documents/Apps/Microsoft%20Forms/TAKATSU%20ANALYZE%20REPORT/Question/Shutter%20Noise%20caused%20by%20Spur%20Gear_Zainul%20Muttaqin.jpg","id":"01D6UVHSN7ZTIGG5N3TJAZACF7WX63WPA3","type":null,"size":67004,"referenceId":"01D6UVHSOX5DG5RX522VGYFCV365U3UBU3","driveId":"b!7qg8FsnQY0iiT36_x6Novv_3J9v4MtxPsytkCbb-ZPz3ScQFcxKeSqI2jw7AAtnZ","status":1,"uploadSessionUrl":null}]</t>
  </si>
  <si>
    <t>https://epsongroup-my.sharepoint.com/personal/brian_ramdhani_epson_co_id/Documents/Apps/Microsoft%20Forms/TAKATSU%20ANALYZE%20REPORT/Question/Shutter%20Noise%20caused%20by%20Spur%20Gear_Zainul%20Muttaqin.jpg</t>
  </si>
  <si>
    <t>FocLiBfpgU--IwLEtS7bMMgAFNau</t>
  </si>
  <si>
    <t>Suspect mistake placement by OPR on WIP, but we still continue monitoring and still analyze to find rootcause.</t>
  </si>
  <si>
    <t>Correction placement motor platen by OPR and continue monitoring this defect.</t>
  </si>
  <si>
    <t>AR241210073009</t>
  </si>
  <si>
    <t xml:space="preserve">PRINT HEAD 2 </t>
  </si>
  <si>
    <t>V_oOPkdX4EW6rCGX9hCObsgAAgfu</t>
  </si>
  <si>
    <t>AR241210093321</t>
  </si>
  <si>
    <t>Abnormal Paper Loading</t>
  </si>
  <si>
    <t xml:space="preserve">Saat proses label inspection sheet </t>
  </si>
  <si>
    <t>During label calibration at PG Stage, panel shown [the paper not loaded correctly]</t>
  </si>
  <si>
    <t>[{"name":"the paper is not loaded correctly_Zainul Muttaqin 1.jpg","link":"https://epsongroup-my.sharepoint.com/personal/brian_ramdhani_epson_co_id/Documents/Apps/Microsoft%20Forms/TAKATSU%20ANALYZE%20REPORT/Question/the%20paper%20is%20not%20loaded%20correctly_Zainul%20Muttaqin%201.jpg","id":"01D6UVHSJCMEDKSOFB5BG2DRUPR5MIYFI6","type":null,"size":34192,"referenceId":"01D6UVHSOX5DG5RX522VGYFCV365U3UBU3","driveId":"b!7qg8FsnQY0iiT36_x6Novv_3J9v4MtxPsytkCbb-ZPz3ScQFcxKeSqI2jw7AAtnZ","status":1,"uploadSessionUrl":null}]</t>
  </si>
  <si>
    <t>https://epsongroup-my.sharepoint.com/personal/brian_ramdhani_epson_co_id/Documents/Apps/Microsoft%20Forms/TAKATSU%20ANALYZE%20REPORT/Question/the%20paper%20is%20not%20loaded%20correctly_Zainul%20Muttaqin%201.jpg</t>
  </si>
  <si>
    <t>RKyWbVPnkkynq89fpEd3vMgAKG7u</t>
  </si>
  <si>
    <t>BM Sensor NG - Still Analyze</t>
  </si>
  <si>
    <t>Change BM Sensor NG - Continue monitoring this defect</t>
  </si>
  <si>
    <t>AR241211010730</t>
  </si>
  <si>
    <t>Fatal Error 5151</t>
  </si>
  <si>
    <t>Saat proses power on</t>
  </si>
  <si>
    <t>During initialize product on Printing Stage, found fatal error 005151</t>
  </si>
  <si>
    <t>[{"name":"FE 05151_Zainul Muttaqin.jpg","link":"https://epsongroup-my.sharepoint.com/personal/brian_ramdhani_epson_co_id/Documents/Apps/Microsoft%20Forms/TAKATSU%20ANALYZE%20REPORT/Question/FE%2005151_Zainul%20Muttaqin.jpg","id":"01D6UVHSLNEATZB7FRQFDZFZSNFBZSMHXE","type":null,"size":87766,"referenceId":"01D6UVHSOX5DG5RX522VGYFCV365U3UBU3","driveId":"b!7qg8FsnQY0iiT36_x6Novv_3J9v4MtxPsytkCbb-ZPz3ScQFcxKeSqI2jw7AAtnZ","status":1,"uploadSessionUrl":null}]</t>
  </si>
  <si>
    <t>https://epsongroup-my.sharepoint.com/personal/brian_ramdhani_epson_co_id/Documents/Apps/Microsoft%20Forms/TAKATSU%20ANALYZE%20REPORT/Question/FE%2005151_Zainul%20Muttaqin.jpg</t>
  </si>
  <si>
    <t>id7V16wGGkKRwoZTweG2QMgAPm_D</t>
  </si>
  <si>
    <t>OPR forget take out Jig head incline adjustment</t>
  </si>
  <si>
    <t>Reminding OPR to must be take out all of Jig, if adjustment process already finished</t>
  </si>
  <si>
    <t>AR241212080711</t>
  </si>
  <si>
    <t>Abnormal Power On</t>
  </si>
  <si>
    <t>STG INTETNAL</t>
  </si>
  <si>
    <t xml:space="preserve">Standar lcd tampilannya warna hitam actual warna putih </t>
  </si>
  <si>
    <t>During initial power ON product at Internal Stage, found abnormal LCD Panel [Blue Color]</t>
  </si>
  <si>
    <t>[{"name":"Abnormal LCD Panel_Zainul Muttaqin.jpg","link":"https://epsongroup-my.sharepoint.com/personal/brian_ramdhani_epson_co_id/Documents/Apps/Microsoft%20Forms/TAKATSU%20ANALYZE%20REPORT/Question/Abnormal%20LCD%20Panel_Zainul%20Muttaqin.jpg","id":"01D6UVHSNJLL5DGMJ2YJFJBRKPCZDABKRS","type":null,"size":60358,"referenceId":"01D6UVHSOX5DG5RX522VGYFCV365U3UBU3","driveId":"b!7qg8FsnQY0iiT36_x6Novv_3J9v4MtxPsytkCbb-ZPz3ScQFcxKeSqI2jw7AAtnZ","status":1,"uploadSessionUrl":null}]</t>
  </si>
  <si>
    <t>https://epsongroup-my.sharepoint.com/personal/brian_ramdhani_epson_co_id/Documents/Apps/Microsoft%20Forms/TAKATSU%20ANALYZE%20REPORT/Question/Abnormal%20LCD%20Panel_Zainul%20Muttaqin.jpg</t>
  </si>
  <si>
    <t>TohOXcnnhk6KybuE1l-0YsgAJOu6</t>
  </si>
  <si>
    <t>FFC connection to board peeled off</t>
  </si>
  <si>
    <t>Change FFC peeled of by OPR on SA - Reminding OPR SA, must be follow checkpoint on SWP</t>
  </si>
  <si>
    <t>AR241212080917</t>
  </si>
  <si>
    <t>CSIC Check NG</t>
  </si>
  <si>
    <t>STG INTERNAL</t>
  </si>
  <si>
    <t>yseZav0jekaV_wR25gN_1sgADKaH</t>
  </si>
  <si>
    <t>AR241216032702</t>
  </si>
  <si>
    <t>Jig 01</t>
  </si>
  <si>
    <t>During Initial Charge Found Dot Omission</t>
  </si>
  <si>
    <t>[{"name":"DO 17 Dec 24_Nazar Bagus H..png","link":"https://epsongroup-my.sharepoint.com/personal/brian_ramdhani_epson_co_id/Documents/Apps/Microsoft%20Forms/TAKATSU%20ANALYZE%20REPORT/Question/DO%2017%20Dec%2024_Nazar%20Bagus%20H..png","id":"01D6UVHSLLXBNGQZS3D5A3LFMANB5VZNJ3","type":null,"size":2957802,"referenceId":"01D6UVHSOX5DG5RX522VGYFCV365U3UBU3","driveId":"b!7qg8FsnQY0iiT36_x6Novv_3J9v4MtxPsytkCbb-ZPz3ScQFcxKeSqI2jw7AAtnZ","status":1,"uploadSessionUrl":null}]</t>
  </si>
  <si>
    <t>https://epsongroup-my.sharepoint.com/personal/brian_ramdhani_epson_co_id/Documents/Apps/Microsoft%20Forms/TAKATSU%20ANALYZE%20REPORT/Question/DO%2017%20Dec%2024_Nazar%20Bagus%20H..png</t>
  </si>
  <si>
    <t>Ln3jCsAQo0OUyMukF-cvJ8gAHcH4</t>
  </si>
  <si>
    <t>Possibility Electrical Inside PH NG</t>
  </si>
  <si>
    <t>Change Print Head in Line (Keep PH for analyze)</t>
  </si>
  <si>
    <t>AR241216041826</t>
  </si>
  <si>
    <t>Unstable Printing</t>
  </si>
  <si>
    <t>Jig 06</t>
  </si>
  <si>
    <t>During Initial Charge Found Unstable Printing</t>
  </si>
  <si>
    <t>[{"name":"DMAV_Nazar Bagus H. 1.jpg","link":"https://epsongroup-my.sharepoint.com/personal/brian_ramdhani_epson_co_id/Documents/Apps/Microsoft%20Forms/TAKATSU%20ANALYZE%20REPORT/Question/DMAV_Nazar%20Bagus%20H.%201.jpg","id":"01D6UVHSKQVI3KDSWYCBELLYMQT2IW5GMO","type":null,"size":52376,"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</si>
  <si>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https://epsongroup-my.sharepoint.com/personal/brian_ramdhani_epson_co_id/Documents/Apps/Microsoft%20Forms/TAKATSU%20ANALYZE%20REPORT/Question/DMAV_Nazar%20Bagus%20H.%201.jpg</t>
  </si>
  <si>
    <t>fkOre-DHP0yElkythoegLcgAEB6t</t>
  </si>
  <si>
    <t>Possibility any F/M on Print Head</t>
  </si>
  <si>
    <t>Wiping PH in Line OK</t>
  </si>
  <si>
    <t>AR241216054107</t>
  </si>
  <si>
    <t>Abnormal CR Movement</t>
  </si>
  <si>
    <t>Saat power on</t>
  </si>
  <si>
    <t>When power On at PG stage, find Carriage Movement abnormal. Move Home to Away faster</t>
  </si>
  <si>
    <t>[{"name":"20241216_175552_Rio Rizki Khanigia.jpg","link":"https://epsongroup-my.sharepoint.com/personal/brian_ramdhani_epson_co_id/Documents/Apps/Microsoft%20Forms/TAKATSU%20ANALYZE%20REPORT/Question/20241216_175552_Rio%20Rizki%20Khanigia.jpg","id":"01D6UVHSJ5WIBBWSSXGZFLJD2G7LDITH4Y","type":null,"size":3547694,"referenceId":"01D6UVHSOX5DG5RX522VGYFCV365U3UBU3","driveId":"b!7qg8FsnQY0iiT36_x6Novv_3J9v4MtxPsytkCbb-ZPz3ScQFcxKeSqI2jw7AAtnZ","status":1,"uploadSessionUrl":null}]</t>
  </si>
  <si>
    <t>https://epsongroup-my.sharepoint.com/personal/brian_ramdhani_epson_co_id/Documents/Apps/Microsoft%20Forms/TAKATSU%20ANALYZE%20REPORT/Question/20241216_175552_Rio%20Rizki%20Khanigia.jpg</t>
  </si>
  <si>
    <t>tv8jNjaEf0y9Eq5u6TVKqsgAE3SM</t>
  </si>
  <si>
    <t>Possibility when Serial number not create to ROM during initial setting at Internal stage</t>
  </si>
  <si>
    <t>Re-initial setting at PG Stage. after OK, back to Internal stage to re-inspection process.</t>
  </si>
  <si>
    <t>AR241216073519</t>
  </si>
  <si>
    <t>Ink Drop</t>
  </si>
  <si>
    <t>SRG PRINTING</t>
  </si>
  <si>
    <t>Saat proses miss piping (ada suara noise)</t>
  </si>
  <si>
    <t>Ink Drop during Miss Piping Check at Stage Printing</t>
  </si>
  <si>
    <t>[{"name":"Tube Pinch_Nazar Bagus H..jpg","link":"https://epsongroup-my.sharepoint.com/personal/brian_ramdhani_epson_co_id/Documents/Apps/Microsoft%20Forms/TAKATSU%20ANALYZE%20REPORT/Question/Tube%20Pinch_Nazar%20Bagus%20H..jpg","id":"01D6UVHSOBEODUYACEZJH2TJ6F4EKAWWKS","type":null,"size":70867,"referenceId":"01D6UVHSOX5DG5RX522VGYFCV365U3UBU3","driveId":"b!7qg8FsnQY0iiT36_x6Novv_3J9v4MtxPsytkCbb-ZPz3ScQFcxKeSqI2jw7AAtnZ","status":1,"uploadSessionUrl":null}]</t>
  </si>
  <si>
    <t>https://epsongroup-my.sharepoint.com/personal/brian_ramdhani_epson_co_id/Documents/Apps/Microsoft%20Forms/TAKATSU%20ANALYZE%20REPORT/Question/Tube%20Pinch_Nazar%20Bagus%20H..jpg</t>
  </si>
  <si>
    <t>Y30NrvnvqU-eyM5JGwjWNMgALEpu</t>
  </si>
  <si>
    <t>Tube JIG Maintenance Box Pinched</t>
  </si>
  <si>
    <t>Total Disassembly and Total Cleaning by Production --&gt; Remind Operator to always check JIG and tube condition before insert into Product.</t>
  </si>
  <si>
    <t>AR241217102245</t>
  </si>
  <si>
    <t>Saat proses shutter check</t>
  </si>
  <si>
    <t xml:space="preserve">During Shutter Check Heard tik tik Noise </t>
  </si>
  <si>
    <t>[{"name":"noise shutter check, less grease_Nazar Bagus H..png","link":"https://epsongroup-my.sharepoint.com/personal/brian_ramdhani_epson_co_id/Documents/Apps/Microsoft%20Forms/TAKATSU%20ANALYZE%20REPORT/Question/noise%20shutter%20check,%20less%20grease_Nazar%20Bagus%20H..png","id":"01D6UVHSIGQ4CP27U5BJCZK6KRCGDSTXHB","type":null,"size":2685785,"referenceId":"01D6UVHSOX5DG5RX522VGYFCV365U3UBU3","driveId":"b!7qg8FsnQY0iiT36_x6Novv_3J9v4MtxPsytkCbb-ZPz3ScQFcxKeSqI2jw7AAtnZ","status":1,"uploadSessionUrl":null}]</t>
  </si>
  <si>
    <t>https://epsongroup-my.sharepoint.com/personal/brian_ramdhani_epson_co_id/Documents/Apps/Microsoft%20Forms/TAKATSU%20ANALYZE%20REPORT/Question/noise%20shutter%20check,%20less%20grease_Nazar%20Bagus%20H..png</t>
  </si>
  <si>
    <t>XFFiHC-vm0mOF7UZ3xM6eMgAMrxx</t>
  </si>
  <si>
    <t>Less grease on shaft</t>
  </si>
  <si>
    <t>Add grease on shaft and noise dissappear</t>
  </si>
  <si>
    <t>AR241217114509</t>
  </si>
  <si>
    <t>STG PH</t>
  </si>
  <si>
    <t>Seret saat buka tutup pgu</t>
  </si>
  <si>
    <t>During open-close PGU on PH stage, found hard to open-close</t>
  </si>
  <si>
    <t>[{"name":"PGU_Zainul Muttaqin.png","link":"https://epsongroup-my.sharepoint.com/personal/brian_ramdhani_epson_co_id/Documents/Apps/Microsoft%20Forms/TAKATSU%20ANALYZE%20REPORT/Question/PGU_Zainul%20Muttaqin.png","id":"01D6UVHSMYKXX5SCFUOFEYYC3ZQ2ZHWNLN","type":null,"size":227599,"referenceId":"01D6UVHSOX5DG5RX522VGYFCV365U3UBU3","driveId":"b!7qg8FsnQY0iiT36_x6Novv_3J9v4MtxPsytkCbb-ZPz3ScQFcxKeSqI2jw7AAtnZ","status":1,"uploadSessionUrl":null}]</t>
  </si>
  <si>
    <t>https://epsongroup-my.sharepoint.com/personal/brian_ramdhani_epson_co_id/Documents/Apps/Microsoft%20Forms/TAKATSU%20ANALYZE%20REPORT/Question/PGU_Zainul%20Muttaqin.png</t>
  </si>
  <si>
    <t>vQ_d1TW2GU2umgDs1ysbScgAIkkV</t>
  </si>
  <si>
    <t>Verification in line OK level</t>
  </si>
  <si>
    <t>AR241218034332</t>
  </si>
  <si>
    <t>Fatal Error 205602</t>
  </si>
  <si>
    <t>When Power On at PG Stage, LED ON then OFF and ON again with Error Information System Error 205602</t>
  </si>
  <si>
    <t>[{"name":"20241218_160012_Rio Rizki Khanigia.jpg","link":"https://epsongroup-my.sharepoint.com/personal/brian_ramdhani_epson_co_id/Documents/Apps/Microsoft%20Forms/TAKATSU%20ANALYZE%20REPORT/Question/20241218_160012_Rio%20Rizki%20Khanigia.jpg","id":"01D6UVHSKGUDV6UPMORNFJBW5VUKWPC3YO","type":null,"size":2914404,"referenceId":"01D6UVHSOX5DG5RX522VGYFCV365U3UBU3","driveId":"b!7qg8FsnQY0iiT36_x6Novv_3J9v4MtxPsytkCbb-ZPz3ScQFcxKeSqI2jw7AAtnZ","status":1,"uploadSessionUrl":null}]</t>
  </si>
  <si>
    <t>https://epsongroup-my.sharepoint.com/personal/brian_ramdhani_epson_co_id/Documents/Apps/Microsoft%20Forms/TAKATSU%20ANALYZE%20REPORT/Question/20241218_160012_Rio%20Rizki%20Khanigia.jpg</t>
  </si>
  <si>
    <t>7eCIcx8RwE-XdpgZz4nrlMgAAOes</t>
  </si>
  <si>
    <t>Possibility any bug in SD Card, because not any part to Change and Error code information follow to ROM data Saving</t>
  </si>
  <si>
    <t>Delete SD Card Serial Number at Tool Menu, then Lock - unlock SD Card from CH77 Main. After that Initial setting at Setting 1 Menu become OK. Temporary monitoring this defect with continue production NG Product from before Stage MA 07 [Internal]</t>
  </si>
  <si>
    <t>AR241218095015</t>
  </si>
  <si>
    <t>Ink End Sensor NG</t>
  </si>
  <si>
    <t>INTERNAL</t>
  </si>
  <si>
    <t>Saat proses air leak</t>
  </si>
  <si>
    <t>When air Leak Check, find Error Information ID 1[10] Check Spring of Ink Holder Unit Error. Ink End Sensor Left NG</t>
  </si>
  <si>
    <t>[{"name":"20241218_103335_Rio Rizki Khanigia.jpg","link":"https://epsongroup-my.sharepoint.com/personal/brian_ramdhani_epson_co_id/Documents/Apps/Microsoft%20Forms/TAKATSU%20ANALYZE%20REPORT/Question/20241218_103335_Rio%20Rizki%20Khanigia.jpg","id":"01D6UVHSPY4EIZHHEYIJCLJWBXP4C5ILBL","type":null,"size":3013002,"referenceId":"01D6UVHSOX5DG5RX522VGYFCV365U3UBU3","driveId":"b!7qg8FsnQY0iiT36_x6Novv_3J9v4MtxPsytkCbb-ZPz3ScQFcxKeSqI2jw7AAtnZ","status":1,"uploadSessionUrl":null}]</t>
  </si>
  <si>
    <t>https://epsongroup-my.sharepoint.com/personal/brian_ramdhani_epson_co_id/Documents/Apps/Microsoft%20Forms/TAKATSU%20ANALYZE%20REPORT/Question/20241218_103335_Rio%20Rizki%20Khanigia.jpg</t>
  </si>
  <si>
    <t>Mm4KxVGtgEmyHJEzTQnv8sgAHHjy</t>
  </si>
  <si>
    <t>Arrangement Harnes AC not Good. [Any 4M man power at MA 06]</t>
  </si>
  <si>
    <t>Additional check arrangement harness AC at next stage [MA 07 - Internal Stage] and Re-training OP MA 06</t>
  </si>
  <si>
    <t>AR241219083807</t>
  </si>
  <si>
    <t>Printing Noise</t>
  </si>
  <si>
    <t xml:space="preserve">PRINTING </t>
  </si>
  <si>
    <t>Saat proses louding paper high gloos</t>
  </si>
  <si>
    <t>During Iinitialize loading paper High Gloss, found noise at Printing Stage</t>
  </si>
  <si>
    <t>[{"name":"Picture1_Zainul Muttaqin.png","link":"https://epsongroup-my.sharepoint.com/personal/brian_ramdhani_epson_co_id/Documents/Apps/Microsoft%20Forms/TAKATSU%20ANALYZE%20REPORT/Question/Picture1_Zainul%20Muttaqin.png","id":"01D6UVHSIP5BBNY7X47FDKM7NHOR2YMNUL","type":null,"size":120441,"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</si>
  <si>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https://epsongroup-my.sharepoint.com/personal/brian_ramdhani_epson_co_id/Documents/Apps/Microsoft%20Forms/TAKATSU%20ANALYZE%20REPORT/Question/Picture1_Zainul%20Muttaqin.png</t>
  </si>
  <si>
    <t>Wx_4LijQ6kOl-70sW87hfcgAOZbP</t>
  </si>
  <si>
    <t>Retry initialize loading paper bocome OK permanenly 10/10</t>
  </si>
  <si>
    <t>AR241219120619</t>
  </si>
  <si>
    <t>Abnormal Noise</t>
  </si>
  <si>
    <t>STG SAFETY</t>
  </si>
  <si>
    <t>Saat buka tutup cover paper guide</t>
  </si>
  <si>
    <t>During external check open-close Cover Paper Unit, found noise [Tak-Tak]</t>
  </si>
  <si>
    <t>[{"name":"Picture3_Zainul Muttaqin.png","link":"https://epsongroup-my.sharepoint.com/personal/brian_ramdhani_epson_co_id/Documents/Apps/Microsoft%20Forms/TAKATSU%20ANALYZE%20REPORT/Question/Picture3_Zainul%20Muttaqin.png","id":"01D6UVHSNNJQXVMHU5QNHIRRKRXWJC53EL","type":null,"size":97885,"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</si>
  <si>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https://epsongroup-my.sharepoint.com/personal/brian_ramdhani_epson_co_id/Documents/Apps/Microsoft%20Forms/TAKATSU%20ANALYZE%20REPORT/Question/Picture3_Zainul%20Muttaqin.png</t>
  </si>
  <si>
    <t>XnKZSbM9x0qI8yMW4bBxNMgAHOww</t>
  </si>
  <si>
    <t>Reassembly HOLDER,HINGE FIXED,FRONT become OK, possibility occured due to assembly problem</t>
  </si>
  <si>
    <t>Review assembly related stage, continue monitoring this defect</t>
  </si>
  <si>
    <t>AR241220090330</t>
  </si>
  <si>
    <t>Saat proses calibrasi</t>
  </si>
  <si>
    <t>During calibration process using APMP Paper, found Paper Jam</t>
  </si>
  <si>
    <t>[{"name":"Paper Jam1_Zainul Muttaqin.jpg","link":"https://epsongroup-my.sharepoint.com/personal/brian_ramdhani_epson_co_id/Documents/Apps/Microsoft%20Forms/TAKATSU%20ANALYZE%20REPORT/Question/Paper%20Jam1_Zainul%20Muttaqin.jpg","id":"01D6UVHSJ4ZDDUHTFLW5AZA7G7PMHTNX56","type":null,"size":136918,"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</si>
  <si>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https://epsongroup-my.sharepoint.com/personal/brian_ramdhani_epson_co_id/Documents/Apps/Microsoft%20Forms/TAKATSU%20ANALYZE%20REPORT/Question/Paper%20Jam1_Zainul%20Muttaqin.jpg</t>
  </si>
  <si>
    <t>ZCuAS7HOckyG8OCYCF00IsgAMWi0</t>
  </si>
  <si>
    <t>OPR pressing leaf spring during assembly to FRAME PF R and FRAME PF L</t>
  </si>
  <si>
    <t>1. Retraining and reminding OPR so as not to add to the pressing process during assembly leaf spring, 2. OPR must be follow ALO how to calibration process with APMP Paper</t>
  </si>
  <si>
    <t>AR241223033156</t>
  </si>
  <si>
    <t>Jig 02</t>
  </si>
  <si>
    <t>During nozzle check at Printing Stage, found DMAV [F1,180]</t>
  </si>
  <si>
    <t>[{"name":"20241224_085753_Zainul Muttaqin.jpg","link":"https://epsongroup-my.sharepoint.com/personal/brian_ramdhani_epson_co_id/Documents/Apps/Microsoft%20Forms/TAKATSU%20ANALYZE%20REPORT/Question/20241224_085753_Zainul%20Muttaqin.jpg","id":"01D6UVHSJGVVC3XN267FBYWPXD4SGCGQPO","type":null,"size":2149299,"referenceId":"01D6UVHSOX5DG5RX522VGYFCV365U3UBU3","driveId":"b!7qg8FsnQY0iiT36_x6Novv_3J9v4MtxPsytkCbb-ZPz3ScQFcxKeSqI2jw7AAtnZ","status":1,"uploadSessionUrl":null}]</t>
  </si>
  <si>
    <t>https://epsongroup-my.sharepoint.com/personal/brian_ramdhani_epson_co_id/Documents/Apps/Microsoft%20Forms/TAKATSU%20ANALYZE%20REPORT/Question/20241224_085753_Zainul%20Muttaqin.jpg</t>
  </si>
  <si>
    <t>6GSHTCRXzEi5WQghffBpJ8gAJv4H</t>
  </si>
  <si>
    <t>Still Analyze</t>
  </si>
  <si>
    <t>To be continue wiping and cleaning</t>
  </si>
  <si>
    <t>AR241224102418</t>
  </si>
  <si>
    <t>Takatsu-8 Peeler</t>
  </si>
  <si>
    <t>(Jig 02) &gt;&gt;saat louding ink charge</t>
  </si>
  <si>
    <t>Heard abnormal noise during paper feed</t>
  </si>
  <si>
    <t>[{"name":"Noise Peeler_Nazar Bagus H..PNG","link":"https://epsongroup-my.sharepoint.com/personal/brian_ramdhani_epson_co_id/Documents/Apps/Microsoft%20Forms/TAKATSU%20ANALYZE%20REPORT/Question/Noise%20Peeler_Nazar%20Bagus%20H..PNG","id":"01D6UVHSKBMBBN3ZDMHFE3N3WZ5AFSG4YL","type":null,"size":131239,"referenceId":"01D6UVHSOX5DG5RX522VGYFCV365U3UBU3","driveId":"b!7qg8FsnQY0iiT36_x6Novv_3J9v4MtxPsytkCbb-ZPz3ScQFcxKeSqI2jw7AAtnZ","status":1,"uploadSessionUrl":null}]</t>
  </si>
  <si>
    <t>https://epsongroup-my.sharepoint.com/personal/brian_ramdhani_epson_co_id/Documents/Apps/Microsoft%20Forms/TAKATSU%20ANALYZE%20REPORT/Question/Noise%20Peeler_Nazar%20Bagus%20H..PNG</t>
  </si>
  <si>
    <t>AwJMbbhBLkS4pGIZEt2JEsgAOO8y</t>
  </si>
  <si>
    <t>Bearing roller peeler slight unsmooth</t>
  </si>
  <si>
    <t>additional grease on bearing become OK</t>
  </si>
  <si>
    <t>AR241231090813</t>
  </si>
  <si>
    <t>When initial Power On at Printing Stage, find Error Information 205602 at LCD Panel</t>
  </si>
  <si>
    <t>[{"name":"FATAL ERROR 205602_Rio Rizki Khanigia.jpg","link":"https://epsongroup-my.sharepoint.com/personal/brian_ramdhani_epson_co_id/Documents/Apps/Microsoft%20Forms/TAKATSU%20ANALYZE%20REPORT/Question/FATAL%20ERROR%20205602_Rio%20Rizki%20Khanigia.jpg","id":"01D6UVHSKAI4OVW6BDLZAYS22VFVHHXV3W","type":null,"size":175308,"referenceId":"01D6UVHSOX5DG5RX522VGYFCV365U3UBU3","driveId":"b!7qg8FsnQY0iiT36_x6Novv_3J9v4MtxPsytkCbb-ZPz3ScQFcxKeSqI2jw7AAtnZ","status":1,"uploadSessionUrl":null}]</t>
  </si>
  <si>
    <t>https://epsongroup-my.sharepoint.com/personal/brian_ramdhani_epson_co_id/Documents/Apps/Microsoft%20Forms/TAKATSU%20ANALYZE%20REPORT/Question/FATAL%20ERROR%20205602_Rio%20Rizki%20Khanigia.jpg</t>
  </si>
  <si>
    <t>MZkKkit_vE2BAgguKnJmqcgAK1C5</t>
  </si>
  <si>
    <t>SD Card at CH77 Main not Locking. NG Possibility cause any 4M Man Power at Sub Assy Main Board</t>
  </si>
  <si>
    <t xml:space="preserve">Connect SD Card, and re-inspection from PG Adjustment Stage. Check remain Stock FG Mainboard at Sub Assy and Main Assy Production. </t>
  </si>
  <si>
    <t>AR250102010320</t>
  </si>
  <si>
    <t>Noise saat proses shutter cek</t>
  </si>
  <si>
    <t>During shutter check inspection at PG stage, found noise (Judgement by OPR)</t>
  </si>
  <si>
    <t>[{"name":"Shutter check noise_Zainul Muttaqin.png","link":"https://epsongroup-my.sharepoint.com/personal/brian_ramdhani_epson_co_id/Documents/Apps/Microsoft%20Forms/TAKATSU%20ANALYZE%20REPORT/Question/Shutter%20check%20noise_Zainul%20Muttaqin.png","id":"01D6UVHSI2K37B4SUMGFALLARG5WR4PNTO","type":null,"size":170890,"referenceId":"01D6UVHSOX5DG5RX522VGYFCV365U3UBU3","driveId":"b!7qg8FsnQY0iiT36_x6Novv_3J9v4MtxPsytkCbb-ZPz3ScQFcxKeSqI2jw7AAtnZ","status":1,"uploadSessionUrl":null}]</t>
  </si>
  <si>
    <t>https://epsongroup-my.sharepoint.com/personal/brian_ramdhani_epson_co_id/Documents/Apps/Microsoft%20Forms/TAKATSU%20ANALYZE%20REPORT/Question/Shutter%20check%20noise_Zainul%20Muttaqin.png</t>
  </si>
  <si>
    <t>ZkYwdsffR0yjw2fYc3qb98gAHBKk</t>
  </si>
  <si>
    <t>Retry in line OK, over judgement</t>
  </si>
  <si>
    <t>AR250102103216</t>
  </si>
  <si>
    <t>Saat proses shutter cek</t>
  </si>
  <si>
    <t>67fzNfu62EmQq9_ACR5aB8gAM7jK</t>
  </si>
  <si>
    <t>AR250103010659</t>
  </si>
  <si>
    <t xml:space="preserve">DMAV </t>
  </si>
  <si>
    <t>[{"name":"DMAV 3 jan_Nazar Bagus H..jpg","link":"https://epsongroup-my.sharepoint.com/personal/brian_ramdhani_epson_co_id/Documents/Apps/Microsoft%20Forms/TAKATSU%20ANALYZE%20REPORT/Question/DMAV%203%20jan_Nazar%20Bagus%20H..jpg","id":"01D6UVHSN5LVJYTXL5ZRHLBIH4IVBUTZC5","type":null,"size":55728,"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</si>
  <si>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https://epsongroup-my.sharepoint.com/personal/brian_ramdhani_epson_co_id/Documents/Apps/Microsoft%20Forms/TAKATSU%20ANALYZE%20REPORT/Question/DMAV%203%20jan_Nazar%20Bagus%20H..jpg</t>
  </si>
  <si>
    <t>r8ym3dZfDk63fG9AsDGHp8gALbtn</t>
  </si>
  <si>
    <t>Possibility any foreign material on surface PH</t>
  </si>
  <si>
    <t>Wiping PH can recovery</t>
  </si>
  <si>
    <t>AR250103104018</t>
  </si>
  <si>
    <t>OZi668R6FEWwH-Al0OwIJ8gAL5e7</t>
  </si>
  <si>
    <t>AR250109014020</t>
  </si>
  <si>
    <t>During Shutter check any small noise</t>
  </si>
  <si>
    <t>[{"name":"False Reject_Nazar Bagus H..PNG","link":"https://epsongroup-my.sharepoint.com/personal/brian_ramdhani_epson_co_id/Documents/Apps/Microsoft%20Forms/TAKATSU%20ANALYZE%20REPORT/Question/False%20Reject_Nazar%20Bagus%20H..PNG","id":"01D6UVHSNGIEMFSJ3H7NH2XUVOTXAICOBF","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</si>
  <si>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https://epsongroup-my.sharepoint.com/personal/brian_ramdhani_epson_co_id/Documents/Apps/Microsoft%20Forms/TAKATSU%20ANALYZE%20REPORT/Question/False%20Reject_Nazar%20Bagus%20H..PNG</t>
  </si>
  <si>
    <t>bAbiyrmbzUSzQGwDUxjj3sgALzR9</t>
  </si>
  <si>
    <t>Not NG</t>
  </si>
  <si>
    <t>Continue Inspection</t>
  </si>
  <si>
    <t>AR250109014242</t>
  </si>
  <si>
    <t>-</t>
  </si>
  <si>
    <t>PGU seret sedikit, tidak separah yang kemarin</t>
  </si>
  <si>
    <t>[{"name":"False Reject_Nazar Bagus H. 1.PNG","link":"https://epsongroup-my.sharepoint.com/personal/brian_ramdhani_epson_co_id/Documents/Apps/Microsoft%20Forms/TAKATSU%20ANALYZE%20REPORT/Question/False%20Reject_Nazar%20Bagus%20H.%201.PNG","id":"01D6UVHSN7TFOGML7NBJHZJQZD7M4GKFFC","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</si>
  <si>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https://epsongroup-my.sharepoint.com/personal/brian_ramdhani_epson_co_id/Documents/Apps/Microsoft%20Forms/TAKATSU%20ANALYZE%20REPORT/Question/False%20Reject_Nazar%20Bagus%20H.%201.PNG</t>
  </si>
  <si>
    <t>tPxO08RSCUie_kYQtiEZZ8gAJ9BP</t>
  </si>
  <si>
    <t>Frame Base</t>
  </si>
  <si>
    <t>Addition Lumirar di JIG Frame Base</t>
  </si>
  <si>
    <t>AR250110015639</t>
  </si>
  <si>
    <t>During initial power ON product, panel shown [MTC Box not installed]</t>
  </si>
  <si>
    <t>[{"name":"FFC MTC Tear_Zainul Muttaqin.png","link":"https://epsongroup-my.sharepoint.com/personal/brian_ramdhani_epson_co_id/Documents/Apps/Microsoft%20Forms/TAKATSU%20ANALYZE%20REPORT/Question/FFC%20MTC%20Tear_Zainul%20Muttaqin.png","id":"01D6UVHSM3YQX5DL4JKBAJ7M25THKT2GE5","type":null,"size":617652,"referenceId":"01D6UVHSOX5DG5RX522VGYFCV365U3UBU3","driveId":"b!7qg8FsnQY0iiT36_x6Novv_3J9v4MtxPsytkCbb-ZPz3ScQFcxKeSqI2jw7AAtnZ","status":1,"uploadSessionUrl":null}]</t>
  </si>
  <si>
    <t>https://epsongroup-my.sharepoint.com/personal/brian_ramdhani_epson_co_id/Documents/Apps/Microsoft%20Forms/TAKATSU%20ANALYZE%20REPORT/Question/FFC%20MTC%20Tear_Zainul%20Muttaqin.png</t>
  </si>
  <si>
    <t>L3Zw2lCl6UWUxgccMUMUk8gACx5m</t>
  </si>
  <si>
    <t>FFC holder MTC Box was tear occured due to assembly by OPR</t>
  </si>
  <si>
    <t>Reminding and retraining OPR, must follow checkpoint on SWP during assembly FFC</t>
  </si>
  <si>
    <t>AR250110031035</t>
  </si>
  <si>
    <t>Peeler Measurement NG</t>
  </si>
  <si>
    <t xml:space="preserve">PG </t>
  </si>
  <si>
    <t>Saat proses peeler measurment</t>
  </si>
  <si>
    <t>During peeler measurement check, found the current results below standard</t>
  </si>
  <si>
    <t>[{"name":"Peeler Measurement NG_Zainul Muttaqin.png","link":"https://epsongroup-my.sharepoint.com/personal/brian_ramdhani_epson_co_id/Documents/Apps/Microsoft%20Forms/TAKATSU%20ANALYZE%20REPORT/Question/Peeler%20Measurement%20NG_Zainul%20Muttaqin.png","id":"01D6UVHSIMZCTOHUQMDNC3YTQXGUOQMTDQ","type":null,"size":266538,"referenceId":"01D6UVHSOX5DG5RX522VGYFCV365U3UBU3","driveId":"b!7qg8FsnQY0iiT36_x6Novv_3J9v4MtxPsytkCbb-ZPz3ScQFcxKeSqI2jw7AAtnZ","status":1,"uploadSessionUrl":null}]</t>
  </si>
  <si>
    <t>https://epsongroup-my.sharepoint.com/personal/brian_ramdhani_epson_co_id/Documents/Apps/Microsoft%20Forms/TAKATSU%20ANALYZE%20REPORT/Question/Peeler%20Measurement%20NG_Zainul%20Muttaqin.png</t>
  </si>
  <si>
    <t>6vs-HQIzJk6vUILBomOeTsgACmvC</t>
  </si>
  <si>
    <t>Belt tension too loose adjustment by OPR</t>
  </si>
  <si>
    <t>Re-adjustment belt tension by OPR become OK</t>
  </si>
  <si>
    <t>AR250110101756</t>
  </si>
  <si>
    <t>Saat proses inkcharge</t>
  </si>
  <si>
    <t>During ink charge in Printing Stage, found Noise on MNU area (Judgement by OPR)</t>
  </si>
  <si>
    <t>[{"name":"MNU Noise_Zainul Muttaqin.png","link":"https://epsongroup-my.sharepoint.com/personal/brian_ramdhani_epson_co_id/Documents/Apps/Microsoft%20Forms/TAKATSU%20ANALYZE%20REPORT/Question/MNU%20Noise_Zainul%20Muttaqin.png","id":"01D6UVHSLNC4RLCLRTDJGYHG64HNDDG442","type":null,"size":265572,"referenceId":"01D6UVHSOX5DG5RX522VGYFCV365U3UBU3","driveId":"b!7qg8FsnQY0iiT36_x6Novv_3J9v4MtxPsytkCbb-ZPz3ScQFcxKeSqI2jw7AAtnZ","status":1,"uploadSessionUrl":null}]</t>
  </si>
  <si>
    <t>https://epsongroup-my.sharepoint.com/personal/brian_ramdhani_epson_co_id/Documents/Apps/Microsoft%20Forms/TAKATSU%20ANALYZE%20REPORT/Question/MNU%20Noise_Zainul%20Muttaqin.png</t>
  </si>
  <si>
    <t>zyg3OwDulEio8kzMTi-JwMgAFEcd</t>
  </si>
  <si>
    <t>Over judgement, OK retry in line</t>
  </si>
  <si>
    <t>AR250113073224</t>
  </si>
  <si>
    <t>Initial Setting NG</t>
  </si>
  <si>
    <t>saat proses airleak</t>
  </si>
  <si>
    <t>During initialize product at Internal Stage, panel shown wait paper remove</t>
  </si>
  <si>
    <t>[{"name":"Wait paper remove_Zainul Muttaqin.png","link":"https://epsongroup-my.sharepoint.com/personal/brian_ramdhani_epson_co_id/Documents/Apps/Microsoft%20Forms/TAKATSU%20ANALYZE%20REPORT/Question/Wait%20paper%20remove_Zainul%20Muttaqin.png","id":"01D6UVHSMYF2OXMZHFSJAKQJXW6KK7NID2","type":null,"size":625769,"referenceId":"01D6UVHSOX5DG5RX522VGYFCV365U3UBU3","driveId":"b!7qg8FsnQY0iiT36_x6Novv_3J9v4MtxPsytkCbb-ZPz3ScQFcxKeSqI2jw7AAtnZ","status":1,"uploadSessionUrl":null}]</t>
  </si>
  <si>
    <t>https://epsongroup-my.sharepoint.com/personal/brian_ramdhani_epson_co_id/Documents/Apps/Microsoft%20Forms/TAKATSU%20ANALYZE%20REPORT/Question/Wait%20paper%20remove_Zainul%20Muttaqin.png</t>
  </si>
  <si>
    <t>cxhKaJBM40OzLSAKF0m52cgAJ98i</t>
  </si>
  <si>
    <t>Harness connection pinched during assembly by OPR</t>
  </si>
  <si>
    <t>Reminding and retraining OPR must be follow all checkpoint on SWP</t>
  </si>
  <si>
    <t>AR250114074237</t>
  </si>
  <si>
    <t>PRINT HEAD</t>
  </si>
  <si>
    <t>Stil analiza</t>
  </si>
  <si>
    <t>During open-close PGU Unit at PH stage, found PGU stuck/drag</t>
  </si>
  <si>
    <t>[{"name":"PGU_Zainul Muttaqin 2.png","link":"https://epsongroup-my.sharepoint.com/personal/brian_ramdhani_epson_co_id/Documents/Apps/Microsoft%20Forms/TAKATSU%20ANALYZE%20REPORT/Question/PGU_Zainul%20Muttaqin%202.png","id":"01D6UVHSIVPX3H7DP6SZHJ5FDKWV4ECSAF","type":null,"size":227599,"referenceId":"01D6UVHSOX5DG5RX522VGYFCV365U3UBU3","driveId":"b!7qg8FsnQY0iiT36_x6Novv_3J9v4MtxPsytkCbb-ZPz3ScQFcxKeSqI2jw7AAtnZ","status":1,"uploadSessionUrl":null}]</t>
  </si>
  <si>
    <t>https://epsongroup-my.sharepoint.com/personal/brian_ramdhani_epson_co_id/Documents/Apps/Microsoft%20Forms/TAKATSU%20ANALYZE%20REPORT/Question/PGU_Zainul%20Muttaqin%202.png</t>
  </si>
  <si>
    <t>D3Vt_-tVIUy4drrUp5kf_8gAA4Cj</t>
  </si>
  <si>
    <t>Still analyze</t>
  </si>
  <si>
    <t>Add checkpoint frame base fit with jig and request measurement part frame base to IQC</t>
  </si>
  <si>
    <t>AR250114104234</t>
  </si>
  <si>
    <t>[{"name":"PGU_Zainul Muttaqin 1.png","link":"https://epsongroup-my.sharepoint.com/personal/brian_ramdhani_epson_co_id/Documents/Apps/Microsoft%20Forms/TAKATSU%20ANALYZE%20REPORT/Question/PGU_Zainul%20Muttaqin%201.png","id":"01D6UVHSID2SDJ3UQBWVDJMT3LW3BVC2LR","type":null,"size":227599,"referenceId":"01D6UVHSOX5DG5RX522VGYFCV365U3UBU3","driveId":"b!7qg8FsnQY0iiT36_x6Novv_3J9v4MtxPsytkCbb-ZPz3ScQFcxKeSqI2jw7AAtnZ","status":1,"uploadSessionUrl":null}]</t>
  </si>
  <si>
    <t>https://epsongroup-my.sharepoint.com/personal/brian_ramdhani_epson_co_id/Documents/Apps/Microsoft%20Forms/TAKATSU%20ANALYZE%20REPORT/Question/PGU_Zainul%20Muttaqin%201.png</t>
  </si>
  <si>
    <t>Bgxg99W6-U6EelwZjOLjt8gANG_6</t>
  </si>
  <si>
    <t>AR250115091849</t>
  </si>
  <si>
    <t>Smear Print</t>
  </si>
  <si>
    <t xml:space="preserve">Jig 02 (saat proses print cek 4) </t>
  </si>
  <si>
    <t xml:space="preserve">When Print Check 4 at printing stage, find SMEAR Print </t>
  </si>
  <si>
    <t>[{"name":"SMEAR PRINT_Rio Rizki Khanigia.jpg","link":"https://epsongroup-my.sharepoint.com/personal/brian_ramdhani_epson_co_id/Documents/Apps/Microsoft%20Forms/TAKATSU%20ANALYZE%20REPORT/Question/SMEAR%20PRINT_Rio%20Rizki%20Khanigia.jpg","id":"01D6UVHSMTM46N4PTR75HIEHYKJATHRXQ3","type":null,"size":60169,"referenceId":"01D6UVHSOX5DG5RX522VGYFCV365U3UBU3","driveId":"b!7qg8FsnQY0iiT36_x6Novv_3J9v4MtxPsytkCbb-ZPz3ScQFcxKeSqI2jw7AAtnZ","status":1,"uploadSessionUrl":null}]</t>
  </si>
  <si>
    <t>https://epsongroup-my.sharepoint.com/personal/brian_ramdhani_epson_co_id/Documents/Apps/Microsoft%20Forms/TAKATSU%20ANALYZE%20REPORT/Question/SMEAR%20PRINT_Rio%20Rizki%20Khanigia.jpg</t>
  </si>
  <si>
    <t>Nq2aIT0YL0KBikYg59JTdMgADt6i</t>
  </si>
  <si>
    <t xml:space="preserve">Effect Treatment PGU Seret make position PGU not stable. </t>
  </si>
  <si>
    <t xml:space="preserve">Change Paper Guide Unit, and positioning Frame Base. </t>
  </si>
  <si>
    <t>AR250116082615</t>
  </si>
  <si>
    <t>PH 2</t>
  </si>
  <si>
    <t>During OPR open - close PGU Unit in PH Stage, found hard to open - close [Judgement, OPR].</t>
  </si>
  <si>
    <t>[{"name":"PGU Seret_Zainul Muttaqin.jpg","link":"https://epsongroup-my.sharepoint.com/personal/brian_ramdhani_epson_co_id/Documents/Apps/Microsoft%20Forms/TAKATSU%20ANALYZE%20REPORT/Question/PGU%20Seret_Zainul%20Muttaqin.jpg","id":"01D6UVHSJGNESFRECFFNALHJW22ED4S43X","type":null,"size":127736,"referenceId":"01D6UVHSOX5DG5RX522VGYFCV365U3UBU3","driveId":"b!7qg8FsnQY0iiT36_x6Novv_3J9v4MtxPsytkCbb-ZPz3ScQFcxKeSqI2jw7AAtnZ","status":1,"uploadSessionUrl":null}]</t>
  </si>
  <si>
    <t>https://epsongroup-my.sharepoint.com/personal/brian_ramdhani_epson_co_id/Documents/Apps/Microsoft%20Forms/TAKATSU%20ANALYZE%20REPORT/Question/PGU%20Seret_Zainul%20Muttaqin.jpg</t>
  </si>
  <si>
    <t>NJgZFG9JIECF7Aa8tjZURsgAEIJR</t>
  </si>
  <si>
    <t>AR250116092544</t>
  </si>
  <si>
    <t>During the printer was checking with menu shutter check, found noise on gear assy area</t>
  </si>
  <si>
    <t>[{"name":"Platen noise in gear assy area_Zainul Muttaqin.png","link":"https://epsongroup-my.sharepoint.com/personal/brian_ramdhani_epson_co_id/Documents/Apps/Microsoft%20Forms/TAKATSU%20ANALYZE%20REPORT/Question/Platen%20noise%20in%20gear%20assy%20area_Zainul%20Muttaqin.png","id":"01D6UVHSKLGWYL6PUAWVEZBKFLLPYQNNT7","type":null,"size":154693,"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</si>
  <si>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https://epsongroup-my.sharepoint.com/personal/brian_ramdhani_epson_co_id/Documents/Apps/Microsoft%20Forms/TAKATSU%20ANALYZE%20REPORT/Question/Platen%20noise%20in%20gear%20assy%20area_Zainul%20Muttaqin.png</t>
  </si>
  <si>
    <t>SYY0IyZ_MUmrtsF6BRhTa8gAOr6b</t>
  </si>
  <si>
    <t>Retry in line OK</t>
  </si>
  <si>
    <t>AR250116121011</t>
  </si>
  <si>
    <t>Saat calibrasi</t>
  </si>
  <si>
    <t>During the printer was checking with menu calibration in Printing, found noise with hard vibration</t>
  </si>
  <si>
    <t>[{"name":"Sentrifugal fan_Zainul Muttaqin.png","link":"https://epsongroup-my.sharepoint.com/personal/brian_ramdhani_epson_co_id/Documents/Apps/Microsoft%20Forms/TAKATSU%20ANALYZE%20REPORT/Question/Sentrifugal%20fan_Zainul%20Muttaqin.png","id":"01D6UVHSNG4U6PXSLXAREZUVYTVICJWNWN","type":null,"size":68043,"referenceId":"01D6UVHSOX5DG5RX522VGYFCV365U3UBU3","driveId":"b!7qg8FsnQY0iiT36_x6Novv_3J9v4MtxPsytkCbb-ZPz3ScQFcxKeSqI2jw7AAtnZ","status":1,"uploadSessionUrl":null}]</t>
  </si>
  <si>
    <t>https://epsongroup-my.sharepoint.com/personal/brian_ramdhani_epson_co_id/Documents/Apps/Microsoft%20Forms/TAKATSU%20ANALYZE%20REPORT/Question/Sentrifugal%20fan_Zainul%20Muttaqin.png</t>
  </si>
  <si>
    <t>HlfhWDoH3EuVyf-2D5l8NcgAJfcn</t>
  </si>
  <si>
    <t>Sentrifugal fan NG, have hard vibration</t>
  </si>
  <si>
    <t>Change sentrifugal fan become OK, still analyze</t>
  </si>
  <si>
    <t>AR250121072005</t>
  </si>
  <si>
    <t xml:space="preserve">PRINTING (TAKATSU 8 D) </t>
  </si>
  <si>
    <t xml:space="preserve">Jig 06 </t>
  </si>
  <si>
    <t>DMAV during initial charge</t>
  </si>
  <si>
    <t>[{"name":"DMAV 1_Nazar Bagus H..jpg","link":"https://epsongroup-my.sharepoint.com/personal/brian_ramdhani_epson_co_id/Documents/Apps/Microsoft%20Forms/TAKATSU%20ANALYZE%20REPORT/Question/DMAV%201_Nazar%20Bagus%20H..jpg","id":"01D6UVHSIXBP2XYNGHKRALF26GNPE3FLDC","type":null,"size":14129,"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</si>
  <si>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https://epsongroup-my.sharepoint.com/personal/brian_ramdhani_epson_co_id/Documents/Apps/Microsoft%20Forms/TAKATSU%20ANALYZE%20REPORT/Question/DMAV%201_Nazar%20Bagus%20H..jpg</t>
  </si>
  <si>
    <t>gSuX0-WlrkeY0AiG0ziIUsgANZV1</t>
  </si>
  <si>
    <t>Print Head</t>
  </si>
  <si>
    <t>Wiping in Repair OK</t>
  </si>
  <si>
    <t>AR250124085317</t>
  </si>
  <si>
    <t>Jig 8 saat proses print head incline adjusment</t>
  </si>
  <si>
    <t>When [Print Head Incline Adjustment] at printing stage, find SMEAR Print</t>
  </si>
  <si>
    <t>[{"name":"Smear print occured due to seal supply unit_Zainul Muttaqin.png","link":"https://epsongroup-my.sharepoint.com/personal/brian_ramdhani_epson_co_id/Documents/Apps/Microsoft%20Forms/TAKATSU%20ANALYZE%20REPORT/Question/Smear%20print%20occured%20due%20to%20seal%20supply%20unit_Zainul%20Muttaqin.png","id":"01D6UVHSJK57LPYR7J2VE232TRQ2CVZYUS","type":null,"size":218257,"referenceId":"01D6UVHSOX5DG5RX522VGYFCV365U3UBU3","driveId":"b!7qg8FsnQY0iiT36_x6Novv_3J9v4MtxPsytkCbb-ZPz3ScQFcxKeSqI2jw7AAtnZ","status":1,"uploadSessionUrl":null}]</t>
  </si>
  <si>
    <t>https://epsongroup-my.sharepoint.com/personal/brian_ramdhani_epson_co_id/Documents/Apps/Microsoft%20Forms/TAKATSU%20ANALYZE%20REPORT/Question/Smear%20print%20occured%20due%20to%20seal%20supply%20unit_Zainul%20Muttaqin.png</t>
  </si>
  <si>
    <t>6kQ4IMV91UaZVrfx8W_IJcgAICQG</t>
  </si>
  <si>
    <t>Seal supply unit hit by duct CR</t>
  </si>
  <si>
    <t>Reminding and retraining OPR PH Stage, to be careful when assembly to PH</t>
  </si>
  <si>
    <t>AR250124090633</t>
  </si>
  <si>
    <t>During the printer was checking with menu nozzle check, found paper stuck in plate platen</t>
  </si>
  <si>
    <t>[{"name":"Paper Stuck_Zainul Muttaqin.png","link":"https://epsongroup-my.sharepoint.com/personal/brian_ramdhani_epson_co_id/Documents/Apps/Microsoft%20Forms/TAKATSU%20ANALYZE%20REPORT/Question/Paper%20Stuck_Zainul%20Muttaqin.png","id":"01D6UVHSOW3DGMSAJVXBG2MKOJYM2O3NTS","type":null,"size":76000,"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</si>
  <si>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https://epsongroup-my.sharepoint.com/personal/brian_ramdhani_epson_co_id/Documents/Apps/Microsoft%20Forms/TAKATSU%20ANALYZE%20REPORT/Question/Paper%20Stuck_Zainul%20Muttaqin.png</t>
  </si>
  <si>
    <t>rzdtwRf-HkqV7KrWQuJmS8gAJUoL</t>
  </si>
  <si>
    <t>Plate platen bending [convex upwards]</t>
  </si>
  <si>
    <t>Change plate platen with new plate, monitoring this defect</t>
  </si>
  <si>
    <t>AR250128035001</t>
  </si>
  <si>
    <t>Miss Piping NG</t>
  </si>
  <si>
    <t>Misspiping on Printing</t>
  </si>
  <si>
    <t>[{"name":"Platen Fan NG 8 jan_Nazar Bagus H. 1.jpg","link":"https://epsongroup-my.sharepoint.com/personal/brian_ramdhani_epson_co_id/Documents/Apps/Microsoft%20Forms/TAKATSU%20ANALYZE%20REPORT/Question/Platen%20Fan%20NG%208%20jan_Nazar%20Bagus%20H.%201.jpg","id":"01D6UVHSJ2YD3VRJJ3WVEKYMCQORGJQGS4","type":null,"size":54695,"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</si>
  <si>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https://epsongroup-my.sharepoint.com/personal/brian_ramdhani_epson_co_id/Documents/Apps/Microsoft%20Forms/TAKATSU%20ANALYZE%20REPORT/Question/Platen%20Fan%20NG%208%20jan_Nazar%20Bagus%20H.%201.jpg</t>
  </si>
  <si>
    <t>ywSnWRFnNkuUOABEaQTeKcgAL_j6</t>
  </si>
  <si>
    <t>trapped air on Ink End Sensor</t>
  </si>
  <si>
    <t>Move Manually Ink End Sensor to release trapped air become OK</t>
  </si>
  <si>
    <t>AR250128035853</t>
  </si>
  <si>
    <t>CR Measurement NG</t>
  </si>
  <si>
    <t>Saat proses cr measurment</t>
  </si>
  <si>
    <t>[{"name":"CR Measurement_Nazar Bagus H..png","link":"https://epsongroup-my.sharepoint.com/personal/brian_ramdhani_epson_co_id/Documents/Apps/Microsoft%20Forms/TAKATSU%20ANALYZE%20REPORT/Question/CR%20Measurement_Nazar%20Bagus%20H..png","id":"01D6UVHSMWMIMLSKH7RNEYYPC7PEY6RXA5","type":null,"size":15976,"referenceId":"01D6UVHSOX5DG5RX522VGYFCV365U3UBU3","driveId":"b!7qg8FsnQY0iiT36_x6Novv_3J9v4MtxPsytkCbb-ZPz3ScQFcxKeSqI2jw7AAtnZ","status":1,"uploadSessionUrl":null}]</t>
  </si>
  <si>
    <t>https://epsongroup-my.sharepoint.com/personal/brian_ramdhani_epson_co_id/Documents/Apps/Microsoft%20Forms/TAKATSU%20ANALYZE%20REPORT/Question/CR%20Measurement_Nazar%20Bagus%20H..png</t>
  </si>
  <si>
    <t>2ydM9VUGP0mibTjmn-Yo5MgADTWZ</t>
  </si>
  <si>
    <t>Not enough grease on Shaft CR</t>
  </si>
  <si>
    <t>Add Grease on Shaft CR Become OK 5x CR Measurement OK</t>
  </si>
  <si>
    <t>AR250128080805</t>
  </si>
  <si>
    <t>[{"name":"DMAV_Nazar Bagus H. 2.jpg","link":"https://epsongroup-my.sharepoint.com/personal/brian_ramdhani_epson_co_id/Documents/Apps/Microsoft%20Forms/TAKATSU%20ANALYZE%20REPORT/Question/DMAV_Nazar%20Bagus%20H.%202.jpg","id":"01D6UVHSPJXXLDCH2R2JDZOH4DUB4ENJ5A","type":null,"size":52376,"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</si>
  <si>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https://epsongroup-my.sharepoint.com/personal/brian_ramdhani_epson_co_id/Documents/Apps/Microsoft%20Forms/TAKATSU%20ANALYZE%20REPORT/Question/DMAV_Nazar%20Bagus%20H.%202.jpg</t>
  </si>
  <si>
    <t>Ws1c-TlQg0eI_oHZBOM3u8gAHQup</t>
  </si>
  <si>
    <t>Any F/m on Surface PH</t>
  </si>
  <si>
    <t>WIping PH in Repair OK</t>
  </si>
  <si>
    <t>AR250130011154</t>
  </si>
  <si>
    <t>No Power</t>
  </si>
  <si>
    <t>During Initial Power On, product cannot be powered on</t>
  </si>
  <si>
    <t>[{"name":"No Power_Nazar Bagus H..png","link":"https://epsongroup-my.sharepoint.com/personal/brian_ramdhani_epson_co_id/Documents/Apps/Microsoft%20Forms/TAKATSU%20ANALYZE%20REPORT/Question/No%20Power_Nazar%20Bagus%20H..png","id":"01D6UVHSNSGWRXRMMHD5C3PHGNJ4D6R7K7","type":null,"size":511,"referenceId":"01D6UVHSOX5DG5RX522VGYFCV365U3UBU3","driveId":"b!7qg8FsnQY0iiT36_x6Novv_3J9v4MtxPsytkCbb-ZPz3ScQFcxKeSqI2jw7AAtnZ","status":1,"uploadSessionUrl":null}]</t>
  </si>
  <si>
    <t>https://epsongroup-my.sharepoint.com/personal/brian_ramdhani_epson_co_id/Documents/Apps/Microsoft%20Forms/TAKATSU%20ANALYZE%20REPORT/Question/No%20Power_Nazar%20Bagus%20H..png</t>
  </si>
  <si>
    <t>gfsRPwccTEyIyQXJbOCWaMgAPDTd</t>
  </si>
  <si>
    <t>FFC Panel NG</t>
  </si>
  <si>
    <t>Change FFC Panel OK</t>
  </si>
  <si>
    <t>AR250131012551</t>
  </si>
  <si>
    <t>Takatsu-4 Peeler</t>
  </si>
  <si>
    <t>Proses peeler measurment</t>
  </si>
  <si>
    <t>When the printer to checking with menu peeler measurement, found NG lower</t>
  </si>
  <si>
    <t>[{"name":"Peeler Measurement NG_Zainul Muttaqin 1.jpg","link":"https://epsongroup-my.sharepoint.com/personal/brian_ramdhani_epson_co_id/Documents/Apps/Microsoft%20Forms/TAKATSU%20ANALYZE%20REPORT/Question/Peeler%20Measurement%20NG_Zainul%20Muttaqin%201.jpg","id":"01D6UVHSONVLINFQVGQFBIA4Z5T3Z4SFHW","type":null,"size":189719,"referenceId":"01D6UVHSOX5DG5RX522VGYFCV365U3UBU3","driveId":"b!7qg8FsnQY0iiT36_x6Novv_3J9v4MtxPsytkCbb-ZPz3ScQFcxKeSqI2jw7AAtnZ","status":1,"uploadSessionUrl":null}]</t>
  </si>
  <si>
    <t>https://epsongroup-my.sharepoint.com/personal/brian_ramdhani_epson_co_id/Documents/Apps/Microsoft%20Forms/TAKATSU%20ANALYZE%20REPORT/Question/Peeler%20Measurement%20NG_Zainul%20Muttaqin%201.jpg</t>
  </si>
  <si>
    <t>gZ1jPLTqmkalz46baXliO8gAG5EY</t>
  </si>
  <si>
    <t>Belt tension in lower from STD [Act: 8 N, STD: 9 -11 N]</t>
  </si>
  <si>
    <t>Resetting belt tension to [Current: 11 N, STD: 9 -11 N]</t>
  </si>
  <si>
    <t>AR250131015643</t>
  </si>
  <si>
    <t>During Initial Power On, Product cannot on</t>
  </si>
  <si>
    <t>[{"name":"No Power FFC Panel_Nazar Bagus H..jpg","link":"https://epsongroup-my.sharepoint.com/personal/brian_ramdhani_epson_co_id/Documents/Apps/Microsoft%20Forms/TAKATSU%20ANALYZE%20REPORT/Question/No%20Power%20FFC%20Panel_Nazar%20Bagus%20H..jpg","id":"01D6UVHSPU5SAR4LZDIRFLZRAQIJ7PC7KB","type":null,"size":26879,"referenceId":"01D6UVHSOX5DG5RX522VGYFCV365U3UBU3","driveId":"b!7qg8FsnQY0iiT36_x6Novv_3J9v4MtxPsytkCbb-ZPz3ScQFcxKeSqI2jw7AAtnZ","status":1,"uploadSessionUrl":null}]</t>
  </si>
  <si>
    <t>https://epsongroup-my.sharepoint.com/personal/brian_ramdhani_epson_co_id/Documents/Apps/Microsoft%20Forms/TAKATSU%20ANALYZE%20REPORT/Question/No%20Power%20FFC%20Panel_Nazar%20Bagus%20H..jpg</t>
  </si>
  <si>
    <t>9K39MZuZGE-Xmf7BcAabwsgALiWw</t>
  </si>
  <si>
    <t>Product Using FFC Panel Trial (FFC Panel's Product No Power)</t>
  </si>
  <si>
    <t>Use OK FFC Panel OK</t>
  </si>
  <si>
    <t>AR250131105742</t>
  </si>
  <si>
    <t xml:space="preserve">INTERNAL </t>
  </si>
  <si>
    <t>No Power During Initial Power On</t>
  </si>
  <si>
    <t>[{"name":"No Power Prog not Full Insert_Nazar Bagus H..jpg","link":"https://epsongroup-my.sharepoint.com/personal/brian_ramdhani_epson_co_id/Documents/Apps/Microsoft%20Forms/TAKATSU%20ANALYZE%20REPORT/Question/No%20Power%20Prog%20not%20Full%20Insert_Nazar%20Bagus%20H..jpg","id":"01D6UVHSM2F5OMZXVJQNA3TOXDZSPHJW5C","type":null,"size":25869,"referenceId":"01D6UVHSOX5DG5RX522VGYFCV365U3UBU3","driveId":"b!7qg8FsnQY0iiT36_x6Novv_3J9v4MtxPsytkCbb-ZPz3ScQFcxKeSqI2jw7AAtnZ","status":1,"uploadSessionUrl":null}]</t>
  </si>
  <si>
    <t>https://epsongroup-my.sharepoint.com/personal/brian_ramdhani_epson_co_id/Documents/Apps/Microsoft%20Forms/TAKATSU%20ANALYZE%20REPORT/Question/No%20Power%20Prog%20not%20Full%20Insert_Nazar%20Bagus%20H..jpg</t>
  </si>
  <si>
    <t>bBcwJuC3uU-9fWxXgOlFrcgAED_8</t>
  </si>
  <si>
    <t>CH77 prog Not Full Insert</t>
  </si>
  <si>
    <t>Re assy CH77 Prog become OK, Rework Stock WIP, remind operator to ensure all full insert</t>
  </si>
  <si>
    <t>AR250203074203</t>
  </si>
  <si>
    <t>During CR Measurement found abnormality</t>
  </si>
  <si>
    <t>[{"name":"False Reject_Nazar Bagus H. 3.PNG","link":"https://epsongroup-my.sharepoint.com/personal/brian_ramdhani_epson_co_id/Documents/Apps/Microsoft%20Forms/TAKATSU%20ANALYZE%20REPORT/Question/False%20Reject_Nazar%20Bagus%20H.%203.PNG","id":"01D6UVHSMZAY3VOLZC4NDZKJPDUSUKBKZ5","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</si>
  <si>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https://epsongroup-my.sharepoint.com/personal/brian_ramdhani_epson_co_id/Documents/Apps/Microsoft%20Forms/TAKATSU%20ANALYZE%20REPORT/Question/False%20Reject_Nazar%20Bagus%20H.%203.PNG</t>
  </si>
  <si>
    <t>7Mhk4VBPe0SlNY0Tg-18mcgACQtj</t>
  </si>
  <si>
    <t>Flase Reject</t>
  </si>
  <si>
    <t>Check 5x CR Measurement and CR Scale Check OK</t>
  </si>
  <si>
    <t>AR250203093520</t>
  </si>
  <si>
    <t>Proses pg</t>
  </si>
  <si>
    <t>When the printer to running with menu peeler measurement check, found NG lower</t>
  </si>
  <si>
    <t>[{"name":"Peeler Measurement NG_Zainul Muttaqin.jpg","link":"https://epsongroup-my.sharepoint.com/personal/brian_ramdhani_epson_co_id/Documents/Apps/Microsoft%20Forms/TAKATSU%20ANALYZE%20REPORT/Question/Peeler%20Measurement%20NG_Zainul%20Muttaqin.jpg","id":"01D6UVHSOJHVMSK3BWQZHJCJNKYJCIYWHW","type":null,"size":189719,"referenceId":"01D6UVHSOX5DG5RX522VGYFCV365U3UBU3","driveId":"b!7qg8FsnQY0iiT36_x6Novv_3J9v4MtxPsytkCbb-ZPz3ScQFcxKeSqI2jw7AAtnZ","status":1,"uploadSessionUrl":null}]</t>
  </si>
  <si>
    <t>https://epsongroup-my.sharepoint.com/personal/brian_ramdhani_epson_co_id/Documents/Apps/Microsoft%20Forms/TAKATSU%20ANALYZE%20REPORT/Question/Peeler%20Measurement%20NG_Zainul%20Muttaqin.jpg</t>
  </si>
  <si>
    <t>aUbE6Kh9Fkyt-OphZUW09sgAOFo3</t>
  </si>
  <si>
    <t>Belt tension in lower from STD, [max 9 - 11 N]</t>
  </si>
  <si>
    <t>Resetting belt tension by OPR, [11 N]</t>
  </si>
  <si>
    <t>AR250204103917</t>
  </si>
  <si>
    <t>Shutter Check NG</t>
  </si>
  <si>
    <t>saat proses pg</t>
  </si>
  <si>
    <t>During Shutter Check, Found Vacuum Value Jig 2 Hole 1 NG</t>
  </si>
  <si>
    <t>[{"name":"SHutter_Nazar Bagus H..png","link":"https://epsongroup-my.sharepoint.com/personal/brian_ramdhani_epson_co_id/Documents/Apps/Microsoft%20Forms/TAKATSU%20ANALYZE%20REPORT/Question/SHutter_Nazar%20Bagus%20H..png","id":"01D6UVHSIU7RNGF3EVL5HLHQMHQCAR6DPN","type":null,"size":342252,"referenceId":"01D6UVHSOX5DG5RX522VGYFCV365U3UBU3","driveId":"b!7qg8FsnQY0iiT36_x6Novv_3J9v4MtxPsytkCbb-ZPz3ScQFcxKeSqI2jw7AAtnZ","status":1,"uploadSessionUrl":null}]</t>
  </si>
  <si>
    <t>https://epsongroup-my.sharepoint.com/personal/brian_ramdhani_epson_co_id/Documents/Apps/Microsoft%20Forms/TAKATSU%20ANALYZE%20REPORT/Question/SHutter_Nazar%20Bagus%20H..png</t>
  </si>
  <si>
    <t>O-jrEkQv9U6mUeUAqMVK9cgAGRhe</t>
  </si>
  <si>
    <t>PACKING,PLATEN,UPPER Deform on Area Hole 1</t>
  </si>
  <si>
    <t>Change PACKING,PLATEN,UPPER Missing on Area Hole 1 become OK</t>
  </si>
  <si>
    <t>AR250205052130</t>
  </si>
  <si>
    <t>Internal</t>
  </si>
  <si>
    <t>During initial power ON product in Air Leak Stage, found No Power</t>
  </si>
  <si>
    <t>[{"name":"No Power_Zainul Muttaqin.png","link":"https://epsongroup-my.sharepoint.com/personal/brian_ramdhani_epson_co_id/Documents/Apps/Microsoft%20Forms/TAKATSU%20ANALYZE%20REPORT/Question/No%20Power_Zainul%20Muttaqin.png","id":"01D6UVHSMCXZGZTV4MYBAKPRYWL2GMDNAT","type":null,"size":191313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</si>
  <si>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https://epsongroup-my.sharepoint.com/personal/brian_ramdhani_epson_co_id/Documents/Apps/Microsoft%20Forms/TAKATSU%20ANALYZE%20REPORT/Question/No%20Power_Zainul%20Muttaqin.png</t>
  </si>
  <si>
    <t>eQEDgx7cpE-lUUHWST58JsgAG94_</t>
  </si>
  <si>
    <t>Mainboard problem</t>
  </si>
  <si>
    <t>Change M/B in line, still analyze, and monitoring this defect</t>
  </si>
  <si>
    <t>AR250206021932</t>
  </si>
  <si>
    <t>Peeler Measurement NG Low</t>
  </si>
  <si>
    <t>[{"name":"Peeler Measurement NG_Nazar Bagus H..jpg","link":"https://epsongroup-my.sharepoint.com/personal/brian_ramdhani_epson_co_id/Documents/Apps/Microsoft%20Forms/TAKATSU%20ANALYZE%20REPORT/Question/Peeler%20Measurement%20NG_Nazar%20Bagus%20H..jpg","id":"01D6UVHSI2EKLFBO7N5RAL6EV7SX4AAXLY","type":null,"size":174891,"referenceId":"01D6UVHSOX5DG5RX522VGYFCV365U3UBU3","driveId":"b!7qg8FsnQY0iiT36_x6Novv_3J9v4MtxPsytkCbb-ZPz3ScQFcxKeSqI2jw7AAtnZ","status":1,"uploadSessionUrl":null}]</t>
  </si>
  <si>
    <t>yBtqGC7mckOzGk5aGRInhMgAH2FW</t>
  </si>
  <si>
    <t>False Reject</t>
  </si>
  <si>
    <t>Recheck Tension OK (Value 10) --&gt; Re Assy and Peeler Measurement 3x OK</t>
  </si>
  <si>
    <t>AR250206022021</t>
  </si>
  <si>
    <t>Peeler Unit Noise</t>
  </si>
  <si>
    <t>nmbTZpF8OkWkN132uzb1asgAJ4w7</t>
  </si>
  <si>
    <t>AR250207081821</t>
  </si>
  <si>
    <t xml:space="preserve">Printing </t>
  </si>
  <si>
    <t>Noise saat louding kertas</t>
  </si>
  <si>
    <t>During the product was inpect with menu peeler measurement, found peeler noise [cit cit].</t>
  </si>
  <si>
    <t>[{"name":"Peeler Noise_Zainul Muttaqin.png","link":"https://epsongroup-my.sharepoint.com/personal/brian_ramdhani_epson_co_id/Documents/Apps/Microsoft%20Forms/TAKATSU%20ANALYZE%20REPORT/Question/Peeler%20Noise_Zainul%20Muttaqin.png","id":"01D6UVHSI52HJFV3MFKRHYKXNZN5GRLZFH","type":null,"size":170844,"referenceId":"01D6UVHSOX5DG5RX522VGYFCV365U3UBU3","driveId":"b!7qg8FsnQY0iiT36_x6Novv_3J9v4MtxPsytkCbb-ZPz3ScQFcxKeSqI2jw7AAtnZ","status":1,"uploadSessionUrl":null}]</t>
  </si>
  <si>
    <t>J697srVsvEuiHHQoTTOOWMgAKUcu</t>
  </si>
  <si>
    <t>Roller peeler touch to paper guide peeler</t>
  </si>
  <si>
    <t>Re-assembly paper guide peeler in peeler unit [ensure there is a gap, between two parts]</t>
  </si>
  <si>
    <t>AR250207090825</t>
  </si>
  <si>
    <t>Stg pg</t>
  </si>
  <si>
    <t>Shutter Noise</t>
  </si>
  <si>
    <t>[{"name":"False Reject_Nazar Bagus H. 4.PNG","link":"https://epsongroup-my.sharepoint.com/personal/brian_ramdhani_epson_co_id/Documents/Apps/Microsoft%20Forms/TAKATSU%20ANALYZE%20REPORT/Question/False%20Reject_Nazar%20Bagus%20H.%204.PNG","id":"01D6UVHSJNKOCRZZBKY5F2V6HBBZKL2TIK","type":null,"size":1313,"referenceId":"01D6UVHSOX5DG5RX522VGYFCV365U3UBU3","driveId":"b!7qg8FsnQY0iiT36_x6Novv_3J9v4MtxPsytkCbb-ZPz3ScQFcxKeSqI2jw7AAtnZ","status":1,"uploadSessionUrl":null}]</t>
  </si>
  <si>
    <t>0XSoZQG2v0SXO5aG4gZ5_MgAKYg9</t>
  </si>
  <si>
    <t>Re Check 3x OK</t>
  </si>
  <si>
    <t>AR250210030911</t>
  </si>
  <si>
    <t>Saat proses label inspection sheet</t>
  </si>
  <si>
    <t>During Loading Paper Sensor BM, Paper loading nonstop</t>
  </si>
  <si>
    <t>[{"name":"BM Sensor NG_Nazar Bagus H..jpg","link":"https://epsongroup-my.sharepoint.com/personal/brian_ramdhani_epson_co_id/Documents/Apps/Microsoft%20Forms/TAKATSU%20ANALYZE%20REPORT/Question/BM%20Sensor%20NG_Nazar%20Bagus%20H..jpg","id":"01D6UVHSNHRGALSP6LOVEYVU5QHZDYIJK7","type":null,"size":23084,"referenceId":"01D6UVHSOX5DG5RX522VGYFCV365U3UBU3","driveId":"b!7qg8FsnQY0iiT36_x6Novv_3J9v4MtxPsytkCbb-ZPz3ScQFcxKeSqI2jw7AAtnZ","status":1,"uploadSessionUrl":null}]</t>
  </si>
  <si>
    <t>clzaFA_PfE2SY7_fYKmoGcgAP9Jw</t>
  </si>
  <si>
    <t>BM Sensor NG</t>
  </si>
  <si>
    <t>Change Platen Unit OK (5x Feed), Try NG Platen Unit to other Mecha (On Progress)</t>
  </si>
  <si>
    <t>AR250210114932</t>
  </si>
  <si>
    <t>Found DMAV During initial Charge</t>
  </si>
  <si>
    <t>[{"name":"False Reject_Nazar Bagus H. 5.PNG","link":"https://epsongroup-my.sharepoint.com/personal/brian_ramdhani_epson_co_id/Documents/Apps/Microsoft%20Forms/TAKATSU%20ANALYZE%20REPORT/Question/False%20Reject_Nazar%20Bagus%20H.%205.PNG","id":"01D6UVHSPJZE6XO4XQKJAZ5XMHSYI6NMJX","type":null,"size":1313,"referenceId":"01D6UVHSOX5DG5RX522VGYFCV365U3UBU3","driveId":"b!7qg8FsnQY0iiT36_x6Novv_3J9v4MtxPsytkCbb-ZPz3ScQFcxKeSqI2jw7AAtnZ","status":1,"uploadSessionUrl":null}]</t>
  </si>
  <si>
    <t>2-ErmOiULUixwKLf0DYKYsgAI_qu</t>
  </si>
  <si>
    <t>F/M</t>
  </si>
  <si>
    <t>Wiping PH in Repair OK</t>
  </si>
  <si>
    <t>AR250211025140</t>
  </si>
  <si>
    <t>RP250211072641</t>
  </si>
  <si>
    <t>Printing</t>
  </si>
  <si>
    <t>During Printing Inspection</t>
  </si>
  <si>
    <t>Heard Noise during Printing Using Peeler Unit</t>
  </si>
  <si>
    <t>LSuhWlTi06YDMF4oGaJgcgADkFR</t>
  </si>
  <si>
    <t>Change Spring Plate Peeler</t>
  </si>
  <si>
    <t>AR250211095047</t>
  </si>
  <si>
    <t>Jig 05 saat proses miss piping</t>
  </si>
  <si>
    <t xml:space="preserve">During miss piping check in Printing Stage, found noise [cit cit] in Maintenance Unit area </t>
  </si>
  <si>
    <t>[{"name":"MNU Noise_Zainul Muttaqin.jpg","link":"https://epsongroup-my.sharepoint.com/personal/brian_ramdhani_epson_co_id/Documents/Apps/Microsoft%20Forms/TAKATSU%20ANALYZE%20REPORT/Question/MNU%20Noise_Zainul%20Muttaqin.jpg","id":"01D6UVHSLNRJZP3CGDOBDZA2SZU3EPXVCC","type":null,"size":151366,"referenceId":"01D6UVHSOX5DG5RX522VGYFCV365U3UBU3","driveId":"b!7qg8FsnQY0iiT36_x6Novv_3J9v4MtxPsytkCbb-ZPz3ScQFcxKeSqI2jw7AAtnZ","status":1,"uploadSessionUrl":null}]</t>
  </si>
  <si>
    <t>N4ZDZHAv40WNg-k92rDQHcgAIWUz</t>
  </si>
  <si>
    <t>Still analyze MNU</t>
  </si>
  <si>
    <t>Change MNU become OK, and still analyze MNU</t>
  </si>
  <si>
    <t>AR250211095222</t>
  </si>
  <si>
    <t>Saat proses initial setting</t>
  </si>
  <si>
    <t>During initial setting with kenpuro program in Internal Stage, found initial setting NG [Time Out Error]</t>
  </si>
  <si>
    <t>[{"name":"Time Out Error_Zainul Muttaqin.jpg","link":"https://epsongroup-my.sharepoint.com/personal/brian_ramdhani_epson_co_id/Documents/Apps/Microsoft%20Forms/TAKATSU%20ANALYZE%20REPORT/Question/Time%20Out%20Error_Zainul%20Muttaqin.jpg","id":"01D6UVHSKO6PCVI3ZJPRGJMGNHBFLPMCMG","type":null,"size":93203,"referenceId":"01D6UVHSOX5DG5RX522VGYFCV365U3UBU3","driveId":"b!7qg8FsnQY0iiT36_x6Novv_3J9v4MtxPsytkCbb-ZPz3ScQFcxKeSqI2jw7AAtnZ","status":1,"uploadSessionUrl":null}]</t>
  </si>
  <si>
    <t>Dij_vK-1JkCKvGNmA4pQv8gAPg8Y</t>
  </si>
  <si>
    <t>Dowels lever sensor PGU not full insert to frame</t>
  </si>
  <si>
    <t>Reminding and retraining OPR Stage SA PGU Unit, must be follow checkpoint after assy Lever Sensor PGU Unit.</t>
  </si>
  <si>
    <t>AR250211103617</t>
  </si>
  <si>
    <t>RP250211064453</t>
  </si>
  <si>
    <t>During Check Result Printing</t>
  </si>
  <si>
    <t>When the printer was inspection with menu nozzle check, found the results was DO</t>
  </si>
  <si>
    <t>[{"name":"Dot Omission_Zainul Muttaqin.jpg","link":"https://epsongroup-my.sharepoint.com/personal/brian_ramdhani_epson_co_id/Documents/Apps/Microsoft%20Forms/TAKATSU%20ANALYZE%20REPORT/Question/Dot%20Omission_Zainul%20Muttaqin.jpg","id":"01D6UVHSK4NY2FZGSPBJG3JW7LTAYPF5N4","type":null,"size":130651,"referenceId":"01D6UVHSOX5DG5RX522VGYFCV365U3UBU3","driveId":"b!7qg8FsnQY0iiT36_x6Novv_3J9v4MtxPsytkCbb-ZPz3ScQFcxKeSqI2jw7AAtnZ","status":1,"uploadSessionUrl":null}]</t>
  </si>
  <si>
    <t>sXHrEUQFOkOXWFrv3Kyaw8gAMDg8</t>
  </si>
  <si>
    <t>Possibility any Foreign Material on PH</t>
  </si>
  <si>
    <t>Wiping PH in repair become OK</t>
  </si>
  <si>
    <t>ARTESTTESTTEST1</t>
  </si>
  <si>
    <t>RP250217052946</t>
  </si>
  <si>
    <t>TEST</t>
  </si>
  <si>
    <t>Test Function Form</t>
  </si>
  <si>
    <t>[{"name":"Sample_Brian Ramdhani 1.png","link":"https://epsongroup-my.sharepoint.com/personal/brian_ramdhani_epson_co_id/Documents/Apps/Microsoft%20Forms/TAKATSU%20ANALYZE%20REPORT/Question/Sample_Brian%20Ramdhani%201.png","id":"01D6UVHSNTGWNVZF2KYJGZIF5PJ4H3CPZT","type":null,"size":117963,"referenceId":"01D6UVHSOX5DG5RX522VGYFCV365U3UBU3","driveId":"b!7qg8FsnQY0iiT36_x6Novv_3J9v4MtxPsytkCbb-ZPz3ScQFcxKeSqI2jw7AAtnZ","status":1,"uploadSessionUrl":null}]</t>
  </si>
  <si>
    <t>xxxxxxx</t>
  </si>
  <si>
    <t>There is 4M Change in ["Machine/Jig/Tools","Methode"]That effectTest Function Form</t>
  </si>
  <si>
    <t>1. Test Function Form
2. Test Function Form
3. Test Function Form
4. Test Function Form
5. Test Function Form</t>
  </si>
  <si>
    <t>Brian Ramdhani</t>
  </si>
  <si>
    <t>AR250217114822</t>
  </si>
  <si>
    <t>RP250217052720</t>
  </si>
  <si>
    <t>Abnormal Paper Cover Movement</t>
  </si>
  <si>
    <t>Cover paper guide bending</t>
  </si>
  <si>
    <t>MA13-External+Production 3</t>
  </si>
  <si>
    <t>During External Inspection</t>
  </si>
  <si>
    <t>Found Paper Cover Little bit Stuck During Closing</t>
  </si>
  <si>
    <t>[{"name":"False Reject_Nazar Bagus H. 6.PNG","link":"https://epsongroup-my.sharepoint.com/personal/brian_ramdhani_epson_co_id/Documents/Apps/Microsoft%20Forms/TAKATSU%20ANALYZE%20REPORT/Question/False%20Reject_Nazar%20Bagus%20H.%206.PNG","id":"01D6UVHSN7GQKV3B2H3RFZPISTMTFK7UAW","type":null,"size":1313,"referenceId":"01D6UVHSOX5DG5RX522VGYFCV365U3UBU3","driveId":"b!7qg8FsnQY0iiT36_x6Novv_3J9v4MtxPsytkCbb-ZPz3ScQFcxKeSqI2jw7AAtnZ","status":1,"uploadSessionUrl":null}]</t>
  </si>
  <si>
    <t>WMbwP-Wct0SSLLmFoJGdsMgALkBO</t>
  </si>
  <si>
    <t>Cover on Product not properly match with mechanism</t>
  </si>
  <si>
    <t>Re-assembly all Cover, Product become OK</t>
  </si>
  <si>
    <t>AR250217054245</t>
  </si>
  <si>
    <t>RP250219060835</t>
  </si>
  <si>
    <t>MA10-Printing</t>
  </si>
  <si>
    <t>During Initial Charge, Found DMAH</t>
  </si>
  <si>
    <t>[{"name":"DMAH 19 Feb_Nazar Bagus H..jpg","link":"https://epsongroup-my.sharepoint.com/personal/brian_ramdhani_epson_co_id/Documents/Apps/Microsoft%20Forms/TAKATSU%20ANALYZE%20REPORT/Question/DMAH%2019%20Feb_Nazar%20Bagus%20H..jpg","id":"01D6UVHSNYDYLS2LTHXNAKC2URMYQNAZOY","type":null,"size":53749,"referenceId":"01D6UVHSOX5DG5RX522VGYFCV365U3UBU3","driveId":"b!7qg8FsnQY0iiT36_x6Novv_3J9v4MtxPsytkCbb-ZPz3ScQFcxKeSqI2jw7AAtnZ","status":1,"uploadSessionUrl":null}]</t>
  </si>
  <si>
    <t>CQg1BJajRUyBtIiXbDqWhsgAKWhE</t>
  </si>
  <si>
    <t>Man :
Methode :
Materials :
Machine/Jig :</t>
  </si>
  <si>
    <t xml:space="preserve">1. 
2. 
3. 
4. 
5. </t>
  </si>
  <si>
    <t>Any Foreign Material around Block G3 no150</t>
  </si>
  <si>
    <t>Change PH, and Keep PH NG</t>
  </si>
  <si>
    <t>AR250218081943</t>
  </si>
  <si>
    <t>RP250218094552</t>
  </si>
  <si>
    <t>MA09-PG Adjustment [Setting 1]</t>
  </si>
  <si>
    <t>During MNU Measurement</t>
  </si>
  <si>
    <t>Noise</t>
  </si>
  <si>
    <t>During the product was inpect with menu MNU Measurement in PG Stage, found MNU noise</t>
  </si>
  <si>
    <t>[{"name":"IMG-20250218-WA0002_Zainul Muttaqin.jpg","link":"https://epsongroup-my.sharepoint.com/personal/brian_ramdhani_epson_co_id/Documents/Apps/Microsoft%20Forms/TAKATSU%20ANALYZE%20REPORT/Question/IMG-20250218-WA0002_Zainul%20Muttaqin.jpg","id":"01D6UVHSMFXABD55HTNVBKKERU7VRNAFK2","type":null,"size":730728,"referenceId":"01D6UVHSOX5DG5RX522VGYFCV365U3UBU3","driveId":"b!7qg8FsnQY0iiT36_x6Novv_3J9v4MtxPsytkCbb-ZPz3ScQFcxKeSqI2jw7AAtnZ","status":1,"uploadSessionUrl":null}]</t>
  </si>
  <si>
    <t>HchtiuBs80-W3SsvFaHqFMgAOYzX</t>
  </si>
  <si>
    <t xml:space="preserve">1. MNU Measurement noise
2. Tube touch to gear MNU
3. Operators pay less attention to checkpoint SWP
4. 
5. </t>
  </si>
  <si>
    <t>Tube touch to Gear MNU</t>
  </si>
  <si>
    <t>Reminding OPR SA MNU in 2nd Floor, so that follow check point on SWP during assembly tube.</t>
  </si>
  <si>
    <t>AR250218110821</t>
  </si>
  <si>
    <t>RP250218045357</t>
  </si>
  <si>
    <t>During Platen Fan Adjustment</t>
  </si>
  <si>
    <t>Platen noise</t>
  </si>
  <si>
    <t>During the product was inspect with menu platen fan adjustment, found noise and vibration appear in Platen Fan area</t>
  </si>
  <si>
    <t>[{"name":"Abnormal Noise - Platen_Zainul Muttaqin.jpg","link":"https://epsongroup-my.sharepoint.com/personal/brian_ramdhani_epson_co_id/Documents/Apps/Microsoft%20Forms/TAKATSU%20ANALYZE%20REPORT/Question/Abnormal%20Noise%20-%20Platen_Zainul%20Muttaqin.jpg","id":"01D6UVHSOT5NHFDURW7NFZR4HWAE3SB4PJ","type":null,"size":104836,"referenceId":"01D6UVHSOX5DG5RX522VGYFCV365U3UBU3","driveId":"b!7qg8FsnQY0iiT36_x6Novv_3J9v4MtxPsytkCbb-ZPz3ScQFcxKeSqI2jw7AAtnZ","status":1,"uploadSessionUrl":null}]</t>
  </si>
  <si>
    <t>eUX-tlVVyUm_ZWPzLK5fCcgABba8</t>
  </si>
  <si>
    <t>Platen fan adjustment noise</t>
  </si>
  <si>
    <t>Platen fan unbalanced rotation</t>
  </si>
  <si>
    <t xml:space="preserve">1. Platen fan adjustment noise
2. Platen fan unbalanced rotation
3. Still analyze
4. 
5. </t>
  </si>
  <si>
    <t>Platen fan unbalanced rotation [still analyze]</t>
  </si>
  <si>
    <t>Levelling to OPR SA Platen, so that ensure rotation platen fan was balanced before assy to platen unit</t>
  </si>
  <si>
    <t>AR250218010508</t>
  </si>
  <si>
    <t>RP250218073324</t>
  </si>
  <si>
    <t>MA08-Internal</t>
  </si>
  <si>
    <t>During initial power ON in Air Leak Stage</t>
  </si>
  <si>
    <t>[{"name":"20250205_172057_Zainul Muttaqin.jpg","link":"https://epsongroup-my.sharepoint.com/personal/brian_ramdhani_epson_co_id/Documents/Apps/Microsoft%20Forms/TAKATSU%20ANALYZE%20REPORT/Question/20250205_172057_Zainul%20Muttaqin.jpg","id":"01D6UVHSLQN7YOWUBMPNCKSBN5BXONTNEL","type":null,"size":973291,"referenceId":"01D6UVHSOX5DG5RX522VGYFCV365U3UBU3","driveId":"b!7qg8FsnQY0iiT36_x6Novv_3J9v4MtxPsytkCbb-ZPz3ScQFcxKeSqI2jw7AAtnZ","status":1,"uploadSessionUrl":null}]</t>
  </si>
  <si>
    <t>eEuYxeZqWUuQw8OV8KQPX8gAAaA1</t>
  </si>
  <si>
    <t>No power</t>
  </si>
  <si>
    <t>Board Assy Prog NG</t>
  </si>
  <si>
    <t>Still continue analyze</t>
  </si>
  <si>
    <t xml:space="preserve">1. No power
2. Board Assy Prog NG
3. Still continue analyze
4. 
5. </t>
  </si>
  <si>
    <t>Board Assy Prog NG [Still analyze]</t>
  </si>
  <si>
    <t>Still continue analyze to find rootcause</t>
  </si>
  <si>
    <t>AR250218050131</t>
  </si>
  <si>
    <t>RP250220082431</t>
  </si>
  <si>
    <t>During MNU measurement</t>
  </si>
  <si>
    <t>NOISE</t>
  </si>
  <si>
    <t>During MNU measurement in PG stage, found MNU noise [cit cit]</t>
  </si>
  <si>
    <t>[{"name":"MNU Noise cit cit_Zainul Muttaqin.jpg","link":"https://epsongroup-my.sharepoint.com/personal/brian_ramdhani_epson_co_id/Documents/Apps/Microsoft%20Forms/TAKATSU%20ANALYZE%20REPORT/Question/MNU%20Noise%20cit%20cit_Zainul%20Muttaqin.jpg","id":"01D6UVHSJWPNYG5OQ6ZNFL23STQOZUF64Y","type":null,"size":94655,"referenceId":"01D6UVHSOX5DG5RX522VGYFCV365U3UBU3","driveId":"b!7qg8FsnQY0iiT36_x6Novv_3J9v4MtxPsytkCbb-ZPz3ScQFcxKeSqI2jw7AAtnZ","status":1,"uploadSessionUrl":null}]</t>
  </si>
  <si>
    <t>V13pgkOaxEWZkeBMSAOM88gAKBXx</t>
  </si>
  <si>
    <t>MNU noise [cit cit]</t>
  </si>
  <si>
    <t>Scale touch to BAE</t>
  </si>
  <si>
    <t>BAE slanting</t>
  </si>
  <si>
    <t>Mistake assembly due to Operator</t>
  </si>
  <si>
    <t xml:space="preserve">1. MNU noise [cit cit]
2. Scale touch to BAE
3. BAE slanting
4. Mistake assembly due to Operator
5. </t>
  </si>
  <si>
    <t>BAE slanting, assy by operator</t>
  </si>
  <si>
    <t>Retraining and reminding operator, so that full insert during assembly BAE to FRAME IS GEAR</t>
  </si>
  <si>
    <t>AR250219065151</t>
  </si>
  <si>
    <t>RP250221021709</t>
  </si>
  <si>
    <t>BI-d Cannot Adjust</t>
  </si>
  <si>
    <t xml:space="preserve">Abnormal BID </t>
  </si>
  <si>
    <t>During Printing Process Bi-d VSD</t>
  </si>
  <si>
    <t xml:space="preserve">When OP Print Bi-d VSD1, 2, 3 find white line </t>
  </si>
  <si>
    <t>[{"name":"Bi-D NG_Rio Rizki Khanigia.jpg","link":"https://epsongroup-my.sharepoint.com/personal/brian_ramdhani_epson_co_id/Documents/Apps/Microsoft%20Forms/TAKATSU%20ANALYZE%20REPORT/Question/Bi-D%20NG_Rio%20Rizki%20Khanigia.jpg","id":"01D6UVHSLSE2IJL7PKVRF2F36FGBWLQWHO","type":null,"size":196103,"referenceId":"01D6UVHSOX5DG5RX522VGYFCV365U3UBU3","driveId":"b!7qg8FsnQY0iiT36_x6Novv_3J9v4MtxPsytkCbb-ZPz3ScQFcxKeSqI2jw7AAtnZ","status":1,"uploadSessionUrl":null}]</t>
  </si>
  <si>
    <t>_ZLWgtPrpU6p5vrAQ0BlBsgACY4f</t>
  </si>
  <si>
    <t>PF Belt tension over STD</t>
  </si>
  <si>
    <t>Re-adjust PF Tension and retraining OP refer to SWP.</t>
  </si>
  <si>
    <t>AR250219065722</t>
  </si>
  <si>
    <t>RP250221013701</t>
  </si>
  <si>
    <t>Air Leak Check NG</t>
  </si>
  <si>
    <t>Air chek ng</t>
  </si>
  <si>
    <t>During Air Leak Inspection</t>
  </si>
  <si>
    <t>Saat proses Air leak cek</t>
  </si>
  <si>
    <t>During Air Leak Check, Found Leakage on Color BK</t>
  </si>
  <si>
    <t>[{"name":"Seal INk SUpply NG_Nazar Bagus H..jpg","link":"https://epsongroup-my.sharepoint.com/personal/brian_ramdhani_epson_co_id/Documents/Apps/Microsoft%20Forms/TAKATSU%20ANALYZE%20REPORT/Question/Seal%20INk%20SUpply%20NG_Nazar%20Bagus%20H..jpg","id":"01D6UVHSJIVSTNOUBYIFCJJOLIMBRCDPKD","type":null,"size":62709,"referenceId":"01D6UVHSOX5DG5RX522VGYFCV365U3UBU3","driveId":"b!7qg8FsnQY0iiT36_x6Novv_3J9v4MtxPsytkCbb-ZPz3ScQFcxKeSqI2jw7AAtnZ","status":1,"uploadSessionUrl":null}]</t>
  </si>
  <si>
    <t>Ds5UZBH4ukmpYylu_CWzA8gAHUo8</t>
  </si>
  <si>
    <t>No Changes</t>
  </si>
  <si>
    <t>Why Machine Sub Assy Cannot Detect?</t>
  </si>
  <si>
    <t>Man :No Changes
Methode :No Changes
Materials :No Changes
Machine/Jig :Why Machine Sub Assy Cannot Detect?</t>
  </si>
  <si>
    <t>Any Leakage on Mechanism</t>
  </si>
  <si>
    <t>Leakage on Supply Unit</t>
  </si>
  <si>
    <t>Seal Tube Unpost</t>
  </si>
  <si>
    <t>Assembly Problem</t>
  </si>
  <si>
    <t>1. Air Leak Check NG
2. Any Leakage on Mechanism
3. Leakage on Supply Unit
4. Seal Tube Unpost
5. Assembly Problem</t>
  </si>
  <si>
    <t>Seal Tube on SUpply Unit Color BK Unpost</t>
  </si>
  <si>
    <t>Change Supply OK, Keep NG Supply Unit to continue deep analyze why Sub Assy 2nd Floor cannot detect</t>
  </si>
  <si>
    <t>AR250224111140</t>
  </si>
  <si>
    <t>RP250224013837</t>
  </si>
  <si>
    <t>Paper dent</t>
  </si>
  <si>
    <t>Saat proses print</t>
  </si>
  <si>
    <t>During Initial Paper Loading, Found Paper Stuck into Plate Platen</t>
  </si>
  <si>
    <t>[{"name":"Paper Jam_Nazar Bagus H..jpg","link":"https://epsongroup-my.sharepoint.com/personal/brian_ramdhani_epson_co_id/Documents/Apps/Microsoft%20Forms/TAKATSU%20ANALYZE%20REPORT/Question/Paper%20Jam_Nazar%20Bagus%20H..jpg","id":"01D6UVHSOU56NAGP7EORG3NFKTWQQJDGQB","type":null,"size":86663,"referenceId":"01D6UVHSOX5DG5RX522VGYFCV365U3UBU3","driveId":"b!7qg8FsnQY0iiT36_x6Novv_3J9v4MtxPsytkCbb-ZPz3ScQFcxKeSqI2jw7AAtnZ","status":1,"uploadSessionUrl":null}]</t>
  </si>
  <si>
    <t>1UePiX6kKkeKtVUJKRhPFsgAP3cF</t>
  </si>
  <si>
    <t>Plate Platen Bending</t>
  </si>
  <si>
    <t>Need to Improve Plate Platen Bending Checker</t>
  </si>
  <si>
    <t>Man :No Changes
Methode :No Changes
Materials :Plate Platen Bending
Machine/Jig :Need to Improve Plate Platen Bending Checker</t>
  </si>
  <si>
    <t>Paper Stuck into Plate Platen</t>
  </si>
  <si>
    <t>Part Problem</t>
  </si>
  <si>
    <t xml:space="preserve">1. Paper Jam
2. Paper Stuck into Plate Platen
3. Plate Platen Bending
4. Part Problem
5. </t>
  </si>
  <si>
    <t>Change Plate Platen in Line, Propose to upgrade Plate Platen Checker on Main Assy</t>
  </si>
  <si>
    <t>AR250224010409</t>
  </si>
  <si>
    <t>RP250224015114</t>
  </si>
  <si>
    <t>During label calibration check</t>
  </si>
  <si>
    <t>Saat proses label sensor celebration</t>
  </si>
  <si>
    <t>During label calibration check, panel shown [The paper is not loaded correctly]</t>
  </si>
  <si>
    <t>[{"name":"Abnormal Paper Loading_Zainul Muttaqin.jpg","link":"https://epsongroup-my.sharepoint.com/personal/brian_ramdhani_epson_co_id/Documents/Apps/Microsoft%20Forms/TAKATSU%20ANALYZE%20REPORT/Question/Abnormal%20Paper%20Loading_Zainul%20Muttaqin.jpg","id":"01D6UVHSJAKA6IZQ4BMNFY3C6ZROU4XYKW","type":null,"size":223404,"referenceId":"01D6UVHSOX5DG5RX522VGYFCV365U3UBU3","driveId":"b!7qg8FsnQY0iiT36_x6Novv_3J9v4MtxPsytkCbb-ZPz3ScQFcxKeSqI2jw7AAtnZ","status":1,"uploadSessionUrl":null}]</t>
  </si>
  <si>
    <t>VH4EoYTT8EK41xvfoU6hksgANGQo</t>
  </si>
  <si>
    <t>Platen Unit NG</t>
  </si>
  <si>
    <t xml:space="preserve">1. Abnormal Paper Loading
2. Platen Unit NG
3. BM Sensor NG
4. Still analyze
5. </t>
  </si>
  <si>
    <t>BM Sensor NG [Still analyze]</t>
  </si>
  <si>
    <t>Change BM Sensor in Platen Unit [Still analyze]</t>
  </si>
  <si>
    <t>AR250224024307</t>
  </si>
  <si>
    <t>RP250224040359</t>
  </si>
  <si>
    <t>During PG Inspection</t>
  </si>
  <si>
    <t>When Power On, Found Abnormal Carriage Movement then Appear Paper Jam</t>
  </si>
  <si>
    <t>[{"name":"FFC BAE Carriage Peeled Off_Nazar Bagus H..jpg","link":"https://epsongroup-my.sharepoint.com/personal/brian_ramdhani_epson_co_id/Documents/Apps/Microsoft%20Forms/TAKATSU%20ANALYZE%20REPORT/Question/FFC%20BAE%20Carriage%20Peeled%20Off_Nazar%20Bagus%20H..jpg","id":"01D6UVHSK2BBJDRLROOBDJI3NVE5IMDTMS","type":null,"size":59031,"referenceId":"01D6UVHSOX5DG5RX522VGYFCV365U3UBU3","driveId":"b!7qg8FsnQY0iiT36_x6Novv_3J9v4MtxPsytkCbb-ZPz3ScQFcxKeSqI2jw7AAtnZ","status":1,"uploadSessionUrl":null}]</t>
  </si>
  <si>
    <t>5S0TpEHUi06qZPU_N7sBbsgAIGHs</t>
  </si>
  <si>
    <t>Possibility Peeled Off by Operator</t>
  </si>
  <si>
    <t>Man :Possibility Peeled Off by Operator
Methode :
Materials :
Machine/Jig :</t>
  </si>
  <si>
    <t>Abnormal Power ON</t>
  </si>
  <si>
    <t>Paper Jam Detected During Initial Power On</t>
  </si>
  <si>
    <t>Abnormal Carriage Movement</t>
  </si>
  <si>
    <t>Carriage Communication Error During Initial Power ON</t>
  </si>
  <si>
    <t>FFC BAE Scale Carriage Peeled Off</t>
  </si>
  <si>
    <t>1. Abnormal Power ON
2. Paper Jam Detected During Initial Power On
3. Abnormal Carriage Movement
4. Carriage Communication Error During Initial Power ON
5. FFC BAE Scale Carriage Peeled Off</t>
  </si>
  <si>
    <t>Change FFC, then retrain Operator to ensure FFC BAE Scale not peeled off</t>
  </si>
  <si>
    <t>AR250225111722</t>
  </si>
  <si>
    <t>RP250225014047</t>
  </si>
  <si>
    <t>CABLE HEAD UNPOST</t>
  </si>
  <si>
    <t>CABLE HEAD Slight Upward during CR Movement</t>
  </si>
  <si>
    <t>[{"name":"False Reject_Nazar Bagus H. 7.PNG","link":"https://epsongroup-my.sharepoint.com/personal/brian_ramdhani_epson_co_id/Documents/Apps/Microsoft%20Forms/TAKATSU%20ANALYZE%20REPORT/Question/False%20Reject_Nazar%20Bagus%20H.%207.PNG","id":"01D6UVHSLTOSEUH7M5MRD3QZRRZKMP4EID","type":null,"size":1313,"referenceId":"01D6UVHSOX5DG5RX522VGYFCV365U3UBU3","driveId":"b!7qg8FsnQY0iiT36_x6Novv_3J9v4MtxPsytkCbb-ZPz3ScQFcxKeSqI2jw7AAtnZ","status":1,"uploadSessionUrl":null}]</t>
  </si>
  <si>
    <t>6v8fDDt6c06FfUyhluwIAMgAIYPa</t>
  </si>
  <si>
    <t>OK, no any Action Item</t>
  </si>
  <si>
    <t>AR250226084834</t>
  </si>
  <si>
    <t>RP250303053530</t>
  </si>
  <si>
    <t>TKSAL-028</t>
  </si>
  <si>
    <t>d Cannot Adjust</t>
  </si>
  <si>
    <t>ABNORMAL BID</t>
  </si>
  <si>
    <t>Bid ng</t>
  </si>
  <si>
    <t>During Printing Bi-D, Found Slight Line on Bi-D VS Result</t>
  </si>
  <si>
    <t>[{"name":"BID VSD3 NG_Nazar Bagus H..jpg","link":"https://epsongroup-my.sharepoint.com/personal/brian_ramdhani_epson_co_id/Documents/Apps/Microsoft%20Forms/TAKATSU%20ANALYZE%20REPORT/Question/BID%20VSD3%20NG_Nazar%20Bagus%20H..jpg","id":"01D6UVHSPRBMF3BB7XJZF3S3FDEOGVYBKB","type":null,"size":527655,"referenceId":"01D6UVHSOX5DG5RX522VGYFCV365U3UBU3","driveId":"b!7qg8FsnQY0iiT36_x6Novv_3J9v4MtxPsytkCbb-ZPz3ScQFcxKeSqI2jw7AAtnZ","status":1,"uploadSessionUrl":null}]</t>
  </si>
  <si>
    <t>HYf1WF9i402dContEIbKr8gAKS_H</t>
  </si>
  <si>
    <t>Need to Continue Deep Analyze on Print Head</t>
  </si>
  <si>
    <t>AR250227093429</t>
  </si>
  <si>
    <t>RP250228090751</t>
  </si>
  <si>
    <t>TKSFE-004</t>
  </si>
  <si>
    <t>Fatal Error 005839</t>
  </si>
  <si>
    <t>Fatal error 005839</t>
  </si>
  <si>
    <t>During label calibration check in PG Stage, found Fatal Error 005839 [Platen Shutter Lock Error]</t>
  </si>
  <si>
    <t>[{"name":"FE 005839_Zainul Muttaqin.jpg","link":"https://epsongroup-my.sharepoint.com/personal/brian_ramdhani_epson_co_id/Documents/Apps/Microsoft%20Forms/TAKATSU%20ANALYZE%20REPORT/Question/FE%20005839_Zainul%20Muttaqin.jpg","id":"01D6UVHSJKXIIM5NBVLNCZZYFLEVGISH2Z","type":null,"size":3259,"referenceId":"01D6UVHSOX5DG5RX522VGYFCV365U3UBU3","driveId":"b!7qg8FsnQY0iiT36_x6Novv_3J9v4MtxPsytkCbb-ZPz3ScQFcxKeSqI2jw7AAtnZ","status":1,"uploadSessionUrl":null}]</t>
  </si>
  <si>
    <t>gD7fn86SL0uNodV5d32Oi8gABhY8</t>
  </si>
  <si>
    <t>FE 005839</t>
  </si>
  <si>
    <t>Suspect Motor Assy NG [Still analyze]</t>
  </si>
  <si>
    <t xml:space="preserve">1. FE 005839
2. Platen Unit NG
3. Suspect Motor Assy NG [Still analyze]
4. 
5. </t>
  </si>
  <si>
    <t>Trial change motor assy [Still analyze]</t>
  </si>
  <si>
    <t>AR250227121702</t>
  </si>
  <si>
    <t>RP250228080709</t>
  </si>
  <si>
    <t>Saat proses print Bid</t>
  </si>
  <si>
    <t>Heard Small Noise During Printing</t>
  </si>
  <si>
    <t>[{"name":"False Reject_Nazar Bagus H. 8.PNG","link":"https://epsongroup-my.sharepoint.com/personal/brian_ramdhani_epson_co_id/Documents/Apps/Microsoft%20Forms/TAKATSU%20ANALYZE%20REPORT/Question/False%20Reject_Nazar%20Bagus%20H.%208.PNG","id":"01D6UVHSJ4F75POJTLDVGL2FT26NF5H2ZB","type":null,"size":1313,"referenceId":"01D6UVHSOX5DG5RX522VGYFCV365U3UBU3","driveId":"b!7qg8FsnQY0iiT36_x6Novv_3J9v4MtxPsytkCbb-ZPz3ScQFcxKeSqI2jw7AAtnZ","status":1,"uploadSessionUrl":null}]</t>
  </si>
  <si>
    <t>tx8lOf42E0qPfvvVv4xYDcgAJS_z</t>
  </si>
  <si>
    <t>False Reject, Over Judgement</t>
  </si>
  <si>
    <t>Only Check 5x OK</t>
  </si>
  <si>
    <t>AR250227070758</t>
  </si>
  <si>
    <t>RP250228093823</t>
  </si>
  <si>
    <t>TKSFE-005</t>
  </si>
  <si>
    <t>Fatal Error 5455</t>
  </si>
  <si>
    <t>fetal error 005455</t>
  </si>
  <si>
    <t>During printing check</t>
  </si>
  <si>
    <t>Saat proses head inclined</t>
  </si>
  <si>
    <t>During head incline process in Printing Stage, found Fatal Error 5455 [Auto Cutter Problem]</t>
  </si>
  <si>
    <t>[{"name":"FE 005455_Zainul Muttaqin.jpg","link":"https://epsongroup-my.sharepoint.com/personal/brian_ramdhani_epson_co_id/Documents/Apps/Microsoft%20Forms/TAKATSU%20ANALYZE%20REPORT/Question/FE%20005455_Zainul%20Muttaqin.jpg","id":"01D6UVHSIKRVEF5VJEDBCZWMU2IOJGK37V","type":null,"size":171791,"referenceId":"01D6UVHSOX5DG5RX522VGYFCV365U3UBU3","driveId":"b!7qg8FsnQY0iiT36_x6Novv_3J9v4MtxPsytkCbb-ZPz3ScQFcxKeSqI2jw7AAtnZ","status":1,"uploadSessionUrl":null}]</t>
  </si>
  <si>
    <t>roRPXr6TEE2K9jXBkUmexMgAJfPy</t>
  </si>
  <si>
    <t>FE 005455</t>
  </si>
  <si>
    <t>Lead wire roll motor not full insert</t>
  </si>
  <si>
    <t>Operator do not follow checkpoint on SWP</t>
  </si>
  <si>
    <t xml:space="preserve">1. FE 005455
2. Lead wire roll motor not full insert
3. Operator do not follow checkpoint on SWP
4. 
5. </t>
  </si>
  <si>
    <t>Lead wire roll motor not full insert occured due to assembly defect by Operator</t>
  </si>
  <si>
    <t>AR250303115759</t>
  </si>
  <si>
    <t>RP250303052947</t>
  </si>
  <si>
    <t>TKSAL-009</t>
  </si>
  <si>
    <t>Jig 08</t>
  </si>
  <si>
    <t>Found DMAV During Initial Print</t>
  </si>
  <si>
    <t>[{"name":"False Reject_Nazar Bagus H. 10.PNG","link":"https://epsongroup-my.sharepoint.com/personal/brian_ramdhani_epson_co_id/Documents/Apps/Microsoft%20Forms/TAKATSU%20ANALYZE%20REPORT/Question/False%20Reject_Nazar%20Bagus%20H.%2010.PNG","id":"01D6UVHSLGZ6RI4EMHEZDKFTZENUHUQC77","type":null,"size":1313,"referenceId":"01D6UVHSOX5DG5RX522VGYFCV365U3UBU3","driveId":"b!7qg8FsnQY0iiT36_x6Novv_3J9v4MtxPsytkCbb-ZPz3ScQFcxKeSqI2jw7AAtnZ","status":1,"uploadSessionUrl":null}]</t>
  </si>
  <si>
    <t>TV55guUG3EeOyDV1YLMbnMgAPD-k</t>
  </si>
  <si>
    <t>After Re-Initial Charge. Product Become OK and not found any abnormality</t>
  </si>
  <si>
    <t>AR250304081814</t>
  </si>
  <si>
    <t>RP250320084439</t>
  </si>
  <si>
    <t>TKSAL-002</t>
  </si>
  <si>
    <t>During Printing Using Peeler Unit, Found Noise</t>
  </si>
  <si>
    <t>[{"name":"SMALL GAP 2_Nazar Bagus H. 1.png","link":"https://epsongroup-my.sharepoint.com/personal/brian_ramdhani_epson_co_id/Documents/Apps/Microsoft%20Forms/TAKATSU%20ANALYZE%20REPORT/Question/SMALL%20GAP%202_Nazar%20Bagus%20H.%201.png","id":"01D6UVHSKLCR25KLHQWNEKUON4FCQ6O7Y5","type":null,"size":4747221,"referenceId":"01D6UVHSOX5DG5RX522VGYFCV365U3UBU3","driveId":"b!7qg8FsnQY0iiT36_x6Novv_3J9v4MtxPsytkCbb-ZPz3ScQFcxKeSqI2jw7AAtnZ","status":1,"uploadSessionUrl":null}]</t>
  </si>
  <si>
    <t>GAP cannot be detected by feeler gauge</t>
  </si>
  <si>
    <t>Additional Physical Check by Tapping Plate Peeler</t>
  </si>
  <si>
    <t>AR250304081931</t>
  </si>
  <si>
    <t>RP250304025103</t>
  </si>
  <si>
    <t>TKSAL-024</t>
  </si>
  <si>
    <t>Found Shutter Check NG JIG 2 Hole 1 (&lt;210 Kpa) Only -208 Kpa</t>
  </si>
  <si>
    <t>[{"name":"Shutter Check NG_Nazar Bagus H..png","link":"https://epsongroup-my.sharepoint.com/personal/brian_ramdhani_epson_co_id/Documents/Apps/Microsoft%20Forms/TAKATSU%20ANALYZE%20REPORT/Question/Shutter%20Check%20NG_Nazar%20Bagus%20H..png","id":"01D6UVHSI6EJ3AABUM4JGI5IFKSPCB5JWN","type":null,"size":5136775,"referenceId":"01D6UVHSOX5DG5RX522VGYFCV365U3UBU3","driveId":"b!7qg8FsnQY0iiT36_x6Novv_3J9v4MtxPsytkCbb-ZPz3ScQFcxKeSqI2jw7AAtnZ","status":1,"uploadSessionUrl":null}]</t>
  </si>
  <si>
    <t>PjEzefZSM06AH0m8Mo_4s8gAGhBv</t>
  </si>
  <si>
    <t>Packing Chamber slight imposition that makes any air leakage.</t>
  </si>
  <si>
    <t>Change Chamber (Pad) any re-Calibrate Machine.</t>
  </si>
  <si>
    <t>AR250304011247</t>
  </si>
  <si>
    <t>RP250306115846</t>
  </si>
  <si>
    <t>Saat Platen dan adjustment</t>
  </si>
  <si>
    <t>During platen fan adjustment in PG Stage, found noise in platen unit area</t>
  </si>
  <si>
    <t>[{"name":"False Reject_Zainul Muttaqin.png","link":"https://epsongroup-my.sharepoint.com/personal/brian_ramdhani_epson_co_id/Documents/Apps/Microsoft%20Forms/TAKATSU%20ANALYZE%20REPORT/Question/False%20Reject_Zainul%20Muttaqin.png","id":"01D6UVHSOW7NW26KNS2VH2HZZIQ665QTXD","type":null,"size":1313,"referenceId":"01D6UVHSOX5DG5RX522VGYFCV365U3UBU3","driveId":"b!7qg8FsnQY0iiT36_x6Novv_3J9v4MtxPsytkCbb-ZPz3ScQFcxKeSqI2jw7AAtnZ","status":1,"uploadSessionUrl":null}]</t>
  </si>
  <si>
    <t>GeUAZOD65UaBVL2QDyVPK8gAPwvG</t>
  </si>
  <si>
    <t>False reject</t>
  </si>
  <si>
    <t>False reject, continue production process</t>
  </si>
  <si>
    <t>AR250305081744</t>
  </si>
  <si>
    <t>RP250320085112</t>
  </si>
  <si>
    <t>Abnormal BID</t>
  </si>
  <si>
    <t>Leader</t>
  </si>
  <si>
    <t>Found thin Line on BiD Result</t>
  </si>
  <si>
    <t>[{"name":"BID VSD3 NG_Nazar Bagus H. 1.jpg","link":"https://epsongroup-my.sharepoint.com/personal/brian_ramdhani_epson_co_id/Documents/Apps/Microsoft%20Forms/TAKATSU%20ANALYZE%20REPORT/Question/BID%20VSD3%20NG_Nazar%20Bagus%20H.%201.jpg","id":"01D6UVHSKJJFDFOUV4UZGKP3345FCR3H4L","type":null,"size":527655,"referenceId":"01D6UVHSOX5DG5RX522VGYFCV365U3UBU3","driveId":"b!7qg8FsnQY0iiT36_x6Novv_3J9v4MtxPsytkCbb-ZPz3ScQFcxKeSqI2jw7AAtnZ","status":1,"uploadSessionUrl":null}]</t>
  </si>
  <si>
    <t>Ev1tY4C1AECrZU7jWE-aMsgAKO3o</t>
  </si>
  <si>
    <t>AR250305125834</t>
  </si>
  <si>
    <t>RP250306120214</t>
  </si>
  <si>
    <t xml:space="preserve">Noise </t>
  </si>
  <si>
    <t>During Cutting Paper in Printing Stage</t>
  </si>
  <si>
    <t xml:space="preserve">Saat proses fugtion </t>
  </si>
  <si>
    <t>During cutting paper use Auto Cutter Unit, found noise in Auto Cutter Unit area</t>
  </si>
  <si>
    <t>[{"name":"False Reject_Zainul Muttaqin 1.png","link":"https://epsongroup-my.sharepoint.com/personal/brian_ramdhani_epson_co_id/Documents/Apps/Microsoft%20Forms/TAKATSU%20ANALYZE%20REPORT/Question/False%20Reject_Zainul%20Muttaqin%201.png","id":"01D6UVHSJLLJYFSJ6GGFEK2QAGIRC2W5EP","type":null,"size":1313,"referenceId":"01D6UVHSOX5DG5RX522VGYFCV365U3UBU3","driveId":"b!7qg8FsnQY0iiT36_x6Novv_3J9v4MtxPsytkCbb-ZPz3ScQFcxKeSqI2jw7AAtnZ","status":1,"uploadSessionUrl":null}]</t>
  </si>
  <si>
    <t>vyhUNnZS2EipXxs8htQMXcgAGQnm</t>
  </si>
  <si>
    <t>False reject, continue normal process</t>
  </si>
  <si>
    <t>AR250306074611</t>
  </si>
  <si>
    <t>RP250306112930</t>
  </si>
  <si>
    <t>TKSFE-007</t>
  </si>
  <si>
    <t>Fatal Error 004417</t>
  </si>
  <si>
    <t>Fatal error 004417</t>
  </si>
  <si>
    <t>Missing check at PH 1 during joint FFC Cable Head to Mechanism</t>
  </si>
  <si>
    <t>Setelah power on</t>
  </si>
  <si>
    <t>When mechanism initial process find Error information Fatal Error 004417</t>
  </si>
  <si>
    <t>[{"name":"FE004417_Rio Rizki Khanigia.jpg","link":"https://epsongroup-my.sharepoint.com/personal/brian_ramdhani_epson_co_id/Documents/Apps/Microsoft%20Forms/TAKATSU%20ANALYZE%20REPORT/Question/FE004417_Rio%20Rizki%20Khanigia.jpg","id":"01D6UVHSMKRBFODKLBCNF27A46XTOZHKTE","type":null,"size":139896,"referenceId":"01D6UVHSOX5DG5RX522VGYFCV365U3UBU3","driveId":"b!7qg8FsnQY0iiT36_x6Novv_3J9v4MtxPsytkCbb-ZPz3ScQFcxKeSqI2jw7AAtnZ","status":1,"uploadSessionUrl":null}]</t>
  </si>
  <si>
    <t>VOuTeOA-lEGeFtJY6ilUoMgACOzr</t>
  </si>
  <si>
    <t>Problem Part from Vendor (Totoku)</t>
  </si>
  <si>
    <t xml:space="preserve">Segregate all Stock WIP. Part Level, Pn/n : 0/60. WIP Mechanism, Pn/n: 0/5. </t>
  </si>
  <si>
    <t>AR250306104138</t>
  </si>
  <si>
    <t>RP250307012525</t>
  </si>
  <si>
    <t>TKSAL-013</t>
  </si>
  <si>
    <t>Spring cek ng</t>
  </si>
  <si>
    <t>MA11-Discharge</t>
  </si>
  <si>
    <t>During Discharge Process</t>
  </si>
  <si>
    <t>Saat proses ink discharge</t>
  </si>
  <si>
    <t>When end of discharge process, found IES Spring Check 1 NG</t>
  </si>
  <si>
    <t>[{"name":"IES Spring Check NG_Zainul Muttaqin.jpg","link":"https://epsongroup-my.sharepoint.com/personal/brian_ramdhani_epson_co_id/Documents/Apps/Microsoft%20Forms/TAKATSU%20ANALYZE%20REPORT/Question/IES%20Spring%20Check%20NG_Zainul%20Muttaqin.jpg","id":"01D6UVHSMFBWCTMXUK65CZTWMRFC4SJ3SX","type":null,"size":141834,"referenceId":"01D6UVHSOX5DG5RX522VGYFCV365U3UBU3","driveId":"b!7qg8FsnQY0iiT36_x6Novv_3J9v4MtxPsytkCbb-ZPz3ScQFcxKeSqI2jw7AAtnZ","status":1,"uploadSessionUrl":null}]</t>
  </si>
  <si>
    <t>SZe6eCrUiU-llcNe-5pdm8gAMOiT</t>
  </si>
  <si>
    <t>Direct cause IH Unit [Continue analyze]</t>
  </si>
  <si>
    <t>Change IH Unit become OK, continue analyze</t>
  </si>
  <si>
    <t>AR250306010058</t>
  </si>
  <si>
    <t>RP250322085033</t>
  </si>
  <si>
    <t>TKSAL-010</t>
  </si>
  <si>
    <t>During Ink Charge Process in Printing Stage</t>
  </si>
  <si>
    <t>Jig 05</t>
  </si>
  <si>
    <t>During Ink Charge Process until 2.6, found result printing was DO</t>
  </si>
  <si>
    <t>[{"name":"DO_Zainul Muttaqin 2.png","link":"https://epsongroup-my.sharepoint.com/personal/brian_ramdhani_epson_co_id/Documents/Apps/Microsoft%20Forms/TAKATSU%20ANALYZE%20REPORT/Question/DO_Zainul%20Muttaqin%202.png","id":"01D6UVHSJRAE3QR7VLBZAZYKTV5JPDM5PV","type":null,"size":163030,"referenceId":"01D6UVHSOX5DG5RX522VGYFCV365U3UBU3","driveId":"b!7qg8FsnQY0iiT36_x6Novv_3J9v4MtxPsytkCbb-ZPz3ScQFcxKeSqI2jw7AAtnZ","status":1,"uploadSessionUrl":null}]</t>
  </si>
  <si>
    <t>fF-tHnSHHEmoaDaQjQCTVsgANPO6</t>
  </si>
  <si>
    <t>Possibility Foreign Material on Print Head</t>
  </si>
  <si>
    <t xml:space="preserve">1. DO
2. Possibility Foreign Material on Print Head
3. Still analyze
4. 
5. </t>
  </si>
  <si>
    <t>Possibility any foreign material on inside area of PH</t>
  </si>
  <si>
    <t>Change PH and return to PH Department to continue deep analyze</t>
  </si>
  <si>
    <t>AR250307075619</t>
  </si>
  <si>
    <t>RP250307104301</t>
  </si>
  <si>
    <t>saat proses discharge</t>
  </si>
  <si>
    <t>[{"name":"False Reject_Zainul Muttaqin 2.png","link":"https://epsongroup-my.sharepoint.com/personal/brian_ramdhani_epson_co_id/Documents/Apps/Microsoft%20Forms/TAKATSU%20ANALYZE%20REPORT/Question/False%20Reject_Zainul%20Muttaqin%202.png","id":"01D6UVHSMQCQMNMDMECNBZ7PM6CK3LNUM7","type":null,"size":1313,"referenceId":"01D6UVHSOX5DG5RX522VGYFCV365U3UBU3","driveId":"b!7qg8FsnQY0iiT36_x6Novv_3J9v4MtxPsytkCbb-ZPz3ScQFcxKeSqI2jw7AAtnZ","status":1,"uploadSessionUrl":null}]</t>
  </si>
  <si>
    <t>9NbGtgdU8k6uDY06jZg6x8gAKefq</t>
  </si>
  <si>
    <t>AR250307124007</t>
  </si>
  <si>
    <t>RP250322084219</t>
  </si>
  <si>
    <t>DO after wiping still NG</t>
  </si>
  <si>
    <t>During Initial Charge until 2.6 found result printing was DO</t>
  </si>
  <si>
    <t>[{"name":"DO_Zainul Muttaqin.png","link":"https://epsongroup-my.sharepoint.com/personal/brian_ramdhani_epson_co_id/Documents/Apps/Microsoft%20Forms/TAKATSU%20ANALYZE%20REPORT/Question/DO_Zainul%20Muttaqin.png","id":"01D6UVHSMQ2UPFTOPADFAL4UAZTXXXYA26","type":null,"size":163030,"referenceId":"01D6UVHSOX5DG5RX522VGYFCV365U3UBU3","driveId":"b!7qg8FsnQY0iiT36_x6Novv_3J9v4MtxPsytkCbb-ZPz3ScQFcxKeSqI2jw7AAtnZ","status":1,"uploadSessionUrl":null}]</t>
  </si>
  <si>
    <t>qGNl_tRGvk2vG8ASKBnzt8gAMkQx</t>
  </si>
  <si>
    <t>AR250310083448</t>
  </si>
  <si>
    <t>RP250310092024</t>
  </si>
  <si>
    <t>TKSAL-005</t>
  </si>
  <si>
    <t>MA10-CID Printing</t>
  </si>
  <si>
    <t>During Initial Power ON</t>
  </si>
  <si>
    <t>JIG 07</t>
  </si>
  <si>
    <t>During initial power ON in Printing Stage, found Panel Loading</t>
  </si>
  <si>
    <t>[{"name":"Panel Loading - CSIC Not Full Insert_Zainul Muttaqin.png","link":"https://epsongroup-my.sharepoint.com/personal/brian_ramdhani_epson_co_id/Documents/Apps/Microsoft%20Forms/TAKATSU%20ANALYZE%20REPORT/Question/Panel%20Loading%20-%20CSIC%20Not%20Full%20Insert_Zainul%20Muttaqin.png","id":"01D6UVHSNP42SRNIH44RDY2JX7DEA3C5MA","type":null,"size":288336,"referenceId":"01D6UVHSOX5DG5RX522VGYFCV365U3UBU3","driveId":"b!7qg8FsnQY0iiT36_x6Novv_3J9v4MtxPsytkCbb-ZPz3ScQFcxKeSqI2jw7AAtnZ","status":1,"uploadSessionUrl":null}]</t>
  </si>
  <si>
    <t>GGJbFO8kwkGnR8WYTD6It8gAOib0</t>
  </si>
  <si>
    <t>CSIC I/C Y not full insert</t>
  </si>
  <si>
    <t>Push CSIC I/C Y, become OK</t>
  </si>
  <si>
    <t>AR250310084815</t>
  </si>
  <si>
    <t>RP250320085425</t>
  </si>
  <si>
    <t>TKSAL-027</t>
  </si>
  <si>
    <t>JIG 02</t>
  </si>
  <si>
    <t>During Initial Ink Charge, found printing result Unstable</t>
  </si>
  <si>
    <t>[{"name":"False Reject_Nazar Bagus H. 11.PNG","link":"https://epsongroup-my.sharepoint.com/personal/brian_ramdhani_epson_co_id/Documents/Apps/Microsoft%20Forms/TAKATSU%20ANALYZE%20REPORT/Question/False%20Reject_Nazar%20Bagus%20H.%2011.PNG","id":"01D6UVHSJ5NYEANBRGWFDYVPTGGQWKKJNC","type":null,"size":1313,"referenceId":"01D6UVHSOX5DG5RX522VGYFCV365U3UBU3","driveId":"b!7qg8FsnQY0iiT36_x6Novv_3J9v4MtxPsytkCbb-ZPz3ScQFcxKeSqI2jw7AAtnZ","status":1,"uploadSessionUrl":null}]</t>
  </si>
  <si>
    <t>RBfbHBJTw0mS4YQXFIYtY8gAJwMi</t>
  </si>
  <si>
    <t>After Vacuum and Wiping in Repair Print Head can be Recovered</t>
  </si>
  <si>
    <t>Wiping and Vacuum in Repair</t>
  </si>
  <si>
    <t>AR250311081549</t>
  </si>
  <si>
    <t>RP250322082619</t>
  </si>
  <si>
    <t>During discharge process in Discharge Stage, found IES Check NG [End process of discharge]</t>
  </si>
  <si>
    <t>[{"name":"IES Check NG_Zainul Muttaqin.png","link":"https://epsongroup-my.sharepoint.com/personal/brian_ramdhani_epson_co_id/Documents/Apps/Microsoft%20Forms/TAKATSU%20ANALYZE%20REPORT/Question/IES%20Check%20NG_Zainul%20Muttaqin.png","id":"01D6UVHSJEV4OWM3CCKRD2UFWQ7BQH5PCY","type":null,"size":384117,"referenceId":"01D6UVHSOX5DG5RX522VGYFCV365U3UBU3","driveId":"b!7qg8FsnQY0iiT36_x6Novv_3J9v4MtxPsytkCbb-ZPz3ScQFcxKeSqI2jw7AAtnZ","status":1,"uploadSessionUrl":null}]</t>
  </si>
  <si>
    <t>v6GzrToS9EiD4f6DF0iik8gADUrH</t>
  </si>
  <si>
    <t>Man :No Changes
Methode :No Changes
Materials :No Changes
Machine/Jig :No Changes</t>
  </si>
  <si>
    <t>IH Unit NG</t>
  </si>
  <si>
    <t>Still advanced analyze</t>
  </si>
  <si>
    <t xml:space="preserve">1. Ink End Sensor NG
2. IH Unit NG
3. Still advanced analyze
4. 
5. </t>
  </si>
  <si>
    <t>IH Unit NG --&gt; Still analyze</t>
  </si>
  <si>
    <t>1. Continue monitoring NG ID 1[6] Check Spring of Ink Holder Unit Error, 2. Additional 1x IES Spring Check at Discharge Stage after finish Ink Discharge Stage, 3. Inform to SEC after monitoring data finish.</t>
  </si>
  <si>
    <t>AR250312074350</t>
  </si>
  <si>
    <t>RP250312104817</t>
  </si>
  <si>
    <t>TKSAL-017</t>
  </si>
  <si>
    <t>PAPER JAM</t>
  </si>
  <si>
    <t>saat proses label sensor calibration</t>
  </si>
  <si>
    <t>During Label Sensor Calibration Check on Stage PG, appear Paper Jam Error</t>
  </si>
  <si>
    <t>[{"name":"FFC Peeler Peeled off (Paper Jam).jpg_Nazar Bagus H..png","link":"https://epsongroup-my.sharepoint.com/personal/brian_ramdhani_epson_co_id/Documents/Apps/Microsoft%20Forms/TAKATSU%20ANALYZE%20REPORT/Question/FFC%20Peeler%20Peeled%20off%20(Paper%20Jam).jpg_Nazar%20Bagus%20H..png","id":"01D6UVHSNILLFFYL2QHNEYL57U7O4PPS4T","type":null,"size":4608351,"referenceId":"01D6UVHSOX5DG5RX522VGYFCV365U3UBU3","driveId":"b!7qg8FsnQY0iiT36_x6Novv_3J9v4MtxPsytkCbb-ZPz3ScQFcxKeSqI2jw7AAtnZ","status":1,"uploadSessionUrl":null}]</t>
  </si>
  <si>
    <t>ilTbgwJV80-1D8HK6_RtIMgAGtMi</t>
  </si>
  <si>
    <t>FFC Peeler Peeled Off</t>
  </si>
  <si>
    <t>Change FFC Peeler and check stock WIP</t>
  </si>
  <si>
    <t>AR250312074610</t>
  </si>
  <si>
    <t>RP250322083644</t>
  </si>
  <si>
    <t xml:space="preserve">Abnormal </t>
  </si>
  <si>
    <t>Abnormal Indicator Lamp [Orange]</t>
  </si>
  <si>
    <t>During Label Calibration in PG Stage</t>
  </si>
  <si>
    <t>Saat proses label sensor calibration</t>
  </si>
  <si>
    <t>During label calibration check, found Abnormal Indicator Lamp [Orange]</t>
  </si>
  <si>
    <t>[{"name":"Abnormal Indicator Lamp_Zainul Muttaqin.jpg","link":"https://epsongroup-my.sharepoint.com/personal/brian_ramdhani_epson_co_id/Documents/Apps/Microsoft%20Forms/TAKATSU%20ANALYZE%20REPORT/Question/Abnormal%20Indicator%20Lamp_Zainul%20Muttaqin.jpg","id":"01D6UVHSNXE3P6RS3W6NF3NDUNERPXCUH2","type":null,"size":62735,"referenceId":"01D6UVHSOX5DG5RX522VGYFCV365U3UBU3","driveId":"b!7qg8FsnQY0iiT36_x6Novv_3J9v4MtxPsytkCbb-ZPz3ScQFcxKeSqI2jw7AAtnZ","status":1,"uploadSessionUrl":null}]</t>
  </si>
  <si>
    <t>teuxwFJDqUOnBzLy_cvLMcgAGgIF</t>
  </si>
  <si>
    <t>Abnormal Indicator Lamp</t>
  </si>
  <si>
    <t>Panel Unit NG</t>
  </si>
  <si>
    <t xml:space="preserve">1. Abnormal Indicator Lamp
2. Panel Unit NG
3. Still analyze
4. 
5. </t>
  </si>
  <si>
    <t>Panel Unit NG --&gt; Still analyze and monitoring</t>
  </si>
  <si>
    <t>Change platen unit become OK, still analyze and monitoring</t>
  </si>
  <si>
    <t>AR250313022416</t>
  </si>
  <si>
    <t>RP250322081525</t>
  </si>
  <si>
    <t>Fatal Err</t>
  </si>
  <si>
    <t>Fatal Error 5834 [Platen Shutter Overload Error]</t>
  </si>
  <si>
    <t>Fatal error 5834</t>
  </si>
  <si>
    <t>During Initial Power ON product in PG Stage</t>
  </si>
  <si>
    <t>During initial power ON product in PG Stage, found FE 5834 [Platen Shutter Overload Error]</t>
  </si>
  <si>
    <t>[{"name":"FE 5834_Zainul Muttaqin.png","link":"https://epsongroup-my.sharepoint.com/personal/brian_ramdhani_epson_co_id/Documents/Apps/Microsoft%20Forms/TAKATSU%20ANALYZE%20REPORT/Question/FE%205834_Zainul%20Muttaqin.png","id":"01D6UVHSN7QG3HFWHDJRB26QCC7H6TRNLM","type":null,"size":115365,"referenceId":"01D6UVHSOX5DG5RX522VGYFCV365U3UBU3","driveId":"b!7qg8FsnQY0iiT36_x6Novv_3J9v4MtxPsytkCbb-ZPz3ScQFcxKeSqI2jw7AAtnZ","status":1,"uploadSessionUrl":null}]</t>
  </si>
  <si>
    <t>sWjR8tGEOke-1L1m8uy4LcgANEf-</t>
  </si>
  <si>
    <t>FE 005834</t>
  </si>
  <si>
    <t>Motor Shutter Encoder NG</t>
  </si>
  <si>
    <t xml:space="preserve">1. FE 005834
2. Platen Unit NG
3. Motor Shutter Encoder NG
4. 
5. </t>
  </si>
  <si>
    <t>Motor shutter encoder NG</t>
  </si>
  <si>
    <t>Change motor shutter encoder become OK, monitoring this defect</t>
  </si>
  <si>
    <t>AR250314013447</t>
  </si>
  <si>
    <t>RP250322081839</t>
  </si>
  <si>
    <t>TKSAL-007</t>
  </si>
  <si>
    <t>Mtc box cek ng</t>
  </si>
  <si>
    <t>During initial power ON product in PG Stage, MTC Box can not detect</t>
  </si>
  <si>
    <t>[{"name":"False Reject_Zainul Muttaqin 4.png","link":"https://epsongroup-my.sharepoint.com/personal/brian_ramdhani_epson_co_id/Documents/Apps/Microsoft%20Forms/TAKATSU%20ANALYZE%20REPORT/Question/False%20Reject_Zainul%20Muttaqin%204.png","id":"01D6UVHSPY5PRQUBHZCNAZIJXHW6KO3MQO","type":null,"size":1313,"referenceId":"01D6UVHSOX5DG5RX522VGYFCV365U3UBU3","driveId":"b!7qg8FsnQY0iiT36_x6Novv_3J9v4MtxPsytkCbb-ZPz3ScQFcxKeSqI2jw7AAtnZ","status":1,"uploadSessionUrl":null}]</t>
  </si>
  <si>
    <t>HeKPdWsZ0Ei95z_2-swU88gAEIVd</t>
  </si>
  <si>
    <t>AR250315072535</t>
  </si>
  <si>
    <t>RP250317104248</t>
  </si>
  <si>
    <t>During Miss Piping Check</t>
  </si>
  <si>
    <t>Proses miss Piping</t>
  </si>
  <si>
    <t>During miss piping check, found noise in MNU area</t>
  </si>
  <si>
    <t>[{"name":"False Reject_Zainul Muttaqin 3.png","link":"https://epsongroup-my.sharepoint.com/personal/brian_ramdhani_epson_co_id/Documents/Apps/Microsoft%20Forms/TAKATSU%20ANALYZE%20REPORT/Question/False%20Reject_Zainul%20Muttaqin%203.png","id":"01D6UVHSMDYHTSI7QKB5CY5F24IHSSS7QW","type":null,"size":1313,"referenceId":"01D6UVHSOX5DG5RX522VGYFCV365U3UBU3","driveId":"b!7qg8FsnQY0iiT36_x6Novv_3J9v4MtxPsytkCbb-ZPz3ScQFcxKeSqI2jw7AAtnZ","status":1,"uploadSessionUrl":null}]</t>
  </si>
  <si>
    <t>gLkH-ef8dkKPhbZo2vcKJcgAK7TE</t>
  </si>
  <si>
    <t>false reject</t>
  </si>
  <si>
    <t>AR250318093314</t>
  </si>
  <si>
    <t>RP250318112720</t>
  </si>
  <si>
    <t xml:space="preserve">During Printing </t>
  </si>
  <si>
    <t>Saat inkcharge</t>
  </si>
  <si>
    <t>During vacuum paper at platen unit, hear little noise when platen 100% performance</t>
  </si>
  <si>
    <t>[{"name":"Over Judgement By OP_Rio Rizki Khanigia.jpg","link":"https://epsongroup-my.sharepoint.com/personal/brian_ramdhani_epson_co_id/Documents/Apps/Microsoft%20Forms/TAKATSU%20ANALYZE%20REPORT/Question/Over%20Judgement%20By%20OP_Rio%20Rizki%20Khanigia.jpg","id":"01D6UVHSNWQJJF4YD63FDISHG5ON52JLIC","type":null,"size":34570,"referenceId":"01D6UVHSOX5DG5RX522VGYFCV365U3UBU3","driveId":"b!7qg8FsnQY0iiT36_x6Novv_3J9v4MtxPsytkCbb-ZPz3ScQFcxKeSqI2jw7AAtnZ","status":1,"uploadSessionUrl":null}]</t>
  </si>
  <si>
    <t>FYCaIuJQVk2AghbFMS3s-sgALQEW</t>
  </si>
  <si>
    <t>Arrangement cable Platen unit not good</t>
  </si>
  <si>
    <t xml:space="preserve">re-arrangement platen unit cable </t>
  </si>
  <si>
    <t>AR250325115121</t>
  </si>
  <si>
    <t>RP250416084321</t>
  </si>
  <si>
    <t>Diring Check Result Printing</t>
  </si>
  <si>
    <t>During printing check after Ink Charge in Printing Stage, found the result printing was Unstable Print</t>
  </si>
  <si>
    <t>[{"name":"UP_Zainul Muttaqin.jpg","link":"https://epsongroup-my.sharepoint.com/personal/brian_ramdhani_epson_co_id/Documents/Apps/Microsoft%20Forms/TAKATSU%20ANALYZE%20REPORT/Question/UP_Zainul%20Muttaqin.jpg","id":"01D6UVHSP4BQ2U4VBNYVCYMJXMSM2YXOKH","type":null,"size":72772,"referenceId":"01D6UVHSOX5DG5RX522VGYFCV365U3UBU3","driveId":"b!7qg8FsnQY0iiT36_x6Novv_3J9v4MtxPsytkCbb-ZPz3ScQFcxKeSqI2jw7AAtnZ","status":1,"uploadSessionUrl":null}]</t>
  </si>
  <si>
    <t>Stre1_pe8UaXgK9ceR9VvsgANV3u</t>
  </si>
  <si>
    <t>F/M located in areas outside PH</t>
  </si>
  <si>
    <t>Try to wiping PH</t>
  </si>
  <si>
    <t>AR250325115327</t>
  </si>
  <si>
    <t>RP250325013156</t>
  </si>
  <si>
    <t>Found VSD1 Result Abnormal</t>
  </si>
  <si>
    <t>[{"name":"False Reject_Nazar Bagus H. 12.PNG","link":"https://epsongroup-my.sharepoint.com/personal/brian_ramdhani_epson_co_id/Documents/Apps/Microsoft%20Forms/TAKATSU%20ANALYZE%20REPORT/Question/False%20Reject_Nazar%20Bagus%20H.%2012.PNG","id":"01D6UVHSOCXKSERCNSGRB255SCQXUEHJBN","type":null,"size":1313,"referenceId":"01D6UVHSOX5DG5RX522VGYFCV365U3UBU3","driveId":"b!7qg8FsnQY0iiT36_x6Novv_3J9v4MtxPsytkCbb-ZPz3ScQFcxKeSqI2jw7AAtnZ","status":1,"uploadSessionUrl":null}]</t>
  </si>
  <si>
    <t>mGkP82Nhd0ud4-wZnRzBLsgAJTqs</t>
  </si>
  <si>
    <t>Operator Insert Wrong Value to Kenpro</t>
  </si>
  <si>
    <t>Remind Operator to ensure value are correct during kenpro value insertion</t>
  </si>
  <si>
    <t>AR250407114027</t>
  </si>
  <si>
    <t>RP250407021232</t>
  </si>
  <si>
    <t>TKSAL-001</t>
  </si>
  <si>
    <t>During Internal Inspection</t>
  </si>
  <si>
    <t>During Initial Power On, Carriage Moving Abnormally</t>
  </si>
  <si>
    <t>[{"name":"CR Scale UNpost_Nazar Bagus H..png","link":"https://epsongroup-my.sharepoint.com/personal/brian_ramdhani_epson_co_id/Documents/Apps/Microsoft%20Forms/TAKATSU%20ANALYZE%20REPORT/Question/CR%20Scale%20UNpost_Nazar%20Bagus%20H..png","id":"01D6UVHSJE4ZJADXOS7VELYRFJVDC2IE3G","type":null,"size":4279923,"referenceId":"01D6UVHSOX5DG5RX522VGYFCV365U3UBU3","driveId":"b!7qg8FsnQY0iiT36_x6Novv_3J9v4MtxPsytkCbb-ZPz3ScQFcxKeSqI2jw7AAtnZ","status":1,"uploadSessionUrl":null}]</t>
  </si>
  <si>
    <t>QEVeNLFlL0e5Zl1ALqxu2cgADO2g</t>
  </si>
  <si>
    <t>Product Communication Error</t>
  </si>
  <si>
    <t>Scale CR Cannot be detected by BAE CR</t>
  </si>
  <si>
    <t>Scale CR Unpost</t>
  </si>
  <si>
    <t>Assembly Problem (Product Assembly Wije)</t>
  </si>
  <si>
    <t>1. Abnormal CR Movement
2. Product Communication Error
3. Scale CR Cannot be detected by BAE CR
4. Scale CR Unpost
5. Assembly Problem (Product Assembly Wije)</t>
  </si>
  <si>
    <t>Scale CR Unpostition</t>
  </si>
  <si>
    <t>Re Assy Scale CR in Line Product become OK</t>
  </si>
  <si>
    <t>AR250407030705</t>
  </si>
  <si>
    <t>RP250416084838</t>
  </si>
  <si>
    <t>Spring check Ng (sensor 2)</t>
  </si>
  <si>
    <t>During discharge process</t>
  </si>
  <si>
    <t xml:space="preserve">Still analize </t>
  </si>
  <si>
    <t>During end of ink discharge process, found Ink End Sensor Check NG</t>
  </si>
  <si>
    <t>[{"name":"IES Check NG_Zainul Muttaqin 1.png","link":"https://epsongroup-my.sharepoint.com/personal/brian_ramdhani_epson_co_id/Documents/Apps/Microsoft%20Forms/TAKATSU%20ANALYZE%20REPORT/Question/IES%20Check%20NG_Zainul%20Muttaqin%201.png","id":"01D6UVHSMK2XVX5RVHZNHYHTPD6GVMTHUW","type":null,"size":384117,"referenceId":"01D6UVHSOX5DG5RX522VGYFCV365U3UBU3","driveId":"b!7qg8FsnQY0iiT36_x6Novv_3J9v4MtxPsytkCbb-ZPz3ScQFcxKeSqI2jw7AAtnZ","status":1,"uploadSessionUrl":null}]</t>
  </si>
  <si>
    <t>2Ly9a-O57k2PAIvzt3GG88gAAWEK</t>
  </si>
  <si>
    <t>Retry 10 times become OK</t>
  </si>
  <si>
    <t>Retry 10 times become OK, continue production</t>
  </si>
  <si>
    <t>AR250408095324</t>
  </si>
  <si>
    <t>RP250408020931</t>
  </si>
  <si>
    <t xml:space="preserve">During Printing INspection </t>
  </si>
  <si>
    <t>During Initial Charge, Found DMAV on B4#30</t>
  </si>
  <si>
    <t>[{"name":"DMAV 8 apr 25_Nazar Bagus H..jpg","link":"https://epsongroup-my.sharepoint.com/personal/brian_ramdhani_epson_co_id/Documents/Apps/Microsoft%20Forms/TAKATSU%20ANALYZE%20REPORT/Question/DMAV%208%20apr%2025_Nazar%20Bagus%20H..jpg","id":"01D6UVHSMCMD4LF4LJ2ZD2MDRS57WFYEPV","type":null,"size":54272,"referenceId":"01D6UVHSOX5DG5RX522VGYFCV365U3UBU3","driveId":"b!7qg8FsnQY0iiT36_x6Novv_3J9v4MtxPsytkCbb-ZPz3ScQFcxKeSqI2jw7AAtnZ","status":1,"uploadSessionUrl":null}]</t>
  </si>
  <si>
    <t>PVPnWl6nVki-bFutdMi358gAP9J0</t>
  </si>
  <si>
    <t>Still Ananlyze</t>
  </si>
  <si>
    <t>After Wiping, Become OK</t>
  </si>
  <si>
    <t>AR250408105319</t>
  </si>
  <si>
    <t>RP250421104749</t>
  </si>
  <si>
    <t xml:space="preserve">Air Leak </t>
  </si>
  <si>
    <t>Air Leak Check NG [Y]</t>
  </si>
  <si>
    <t xml:space="preserve">Air leak NG (yellow) </t>
  </si>
  <si>
    <t>During Air Leak Check</t>
  </si>
  <si>
    <t>During Air Leak Check at Internal Stage, found Air Leak NG [Y]</t>
  </si>
  <si>
    <t>[{"name":"Air Leak Check NG [Y]_1_Zainul Muttaqin.jpg","link":"https://epsongroup-my.sharepoint.com/personal/brian_ramdhani_epson_co_id/Documents/Apps/Microsoft%20Forms/TAKATSU%20ANALYZE%20REPORT/Question/Air%20Leak%20Check%20NG%20%5BY%5D_1_Zainul%20Muttaqin.jpg","id":"01D6UVHSPYI3FYEEVM2REJ6TRXUVRWXNRS","type":null,"size":27782,"referenceId":"01D6UVHSOX5DG5RX522VGYFCV365U3UBU3","driveId":"b!7qg8FsnQY0iiT36_x6Novv_3J9v4MtxPsytkCbb-ZPz3ScQFcxKeSqI2jw7AAtnZ","status":1,"uploadSessionUrl":null}]</t>
  </si>
  <si>
    <t>3UXCOD4NQ0yPS1g2WySlxsgAMcl1</t>
  </si>
  <si>
    <t>Missing Seal Duct Junction</t>
  </si>
  <si>
    <t>Assembly defect by operator supply unit</t>
  </si>
  <si>
    <t xml:space="preserve">1. Air Leak Check NG [Y]
2. Missing Seal Duct Junction
3. Assembly defect by operator supply unit
4. 
5. </t>
  </si>
  <si>
    <t>Missing seal Duct Junction</t>
  </si>
  <si>
    <t>Reminding and retraining operator SA Supply Unit Takatsu, must be follow checkpoint on SWP</t>
  </si>
  <si>
    <t>AR250409090355</t>
  </si>
  <si>
    <t>RP250409033153</t>
  </si>
  <si>
    <t>Jig ic tank mtc unit ng</t>
  </si>
  <si>
    <t>During External Inspection Check</t>
  </si>
  <si>
    <t>Saat proses sensor cek</t>
  </si>
  <si>
    <t>During CSIC check at Internal Stage, found CSIC Check NG All (BK/M/C/Y/MT)</t>
  </si>
  <si>
    <t>[{"name":"CSIC Check NG_Zainul Muttaqin.jpg","link":"https://epsongroup-my.sharepoint.com/personal/brian_ramdhani_epson_co_id/Documents/Apps/Microsoft%20Forms/TAKATSU%20ANALYZE%20REPORT/Question/CSIC%20Check%20NG_Zainul%20Muttaqin.jpg","id":"01D6UVHSNGQXI4DBOUQ5BJ4YASTJFC6HRD","type":null,"size":63444,"referenceId":"01D6UVHSOX5DG5RX522VGYFCV365U3UBU3","driveId":"b!7qg8FsnQY0iiT36_x6Novv_3J9v4MtxPsytkCbb-ZPz3ScQFcxKeSqI2jw7AAtnZ","status":1,"uploadSessionUrl":null}]</t>
  </si>
  <si>
    <t>FF0E-wdiLEiX1tiWdycWQcgAIYN4</t>
  </si>
  <si>
    <t>Reassy connection FFC CSIC become OK, monitoring this defect</t>
  </si>
  <si>
    <t>AR250409024339</t>
  </si>
  <si>
    <t>RP250410081010</t>
  </si>
  <si>
    <t>Spring check sensor 2 ng</t>
  </si>
  <si>
    <t>During Discharge Check</t>
  </si>
  <si>
    <t>Setelah selesai discharge</t>
  </si>
  <si>
    <t>During end of discharge check in Discharge Stage, found IES Check NG</t>
  </si>
  <si>
    <t>[{"name":"False Reject_Zainul Muttaqin 5.png","link":"https://epsongroup-my.sharepoint.com/personal/brian_ramdhani_epson_co_id/Documents/Apps/Microsoft%20Forms/TAKATSU%20ANALYZE%20REPORT/Question/False%20Reject_Zainul%20Muttaqin%205.png","id":"01D6UVHSJB4C4UTVXN4ZG2WOMHJ3ED2PYC","type":null,"size":1313,"referenceId":"01D6UVHSOX5DG5RX522VGYFCV365U3UBU3","driveId":"b!7qg8FsnQY0iiT36_x6Novv_3J9v4MtxPsytkCbb-ZPz3ScQFcxKeSqI2jw7AAtnZ","status":1,"uploadSessionUrl":null}]</t>
  </si>
  <si>
    <t>CQA-2-_aIkOmT5VG3WJLK8gABWVY</t>
  </si>
  <si>
    <t>Retry 10x IES check become OK</t>
  </si>
  <si>
    <t>AR250409052142</t>
  </si>
  <si>
    <t>RP250410053032</t>
  </si>
  <si>
    <t>Fatal Error 5853</t>
  </si>
  <si>
    <t>Fatal error 005853</t>
  </si>
  <si>
    <t>After Initial Power On, Appear Fatal Error 5853 on Screen</t>
  </si>
  <si>
    <t>[{"name":"False Reject_Nazar Bagus H. 13.PNG","link":"https://epsongroup-my.sharepoint.com/personal/brian_ramdhani_epson_co_id/Documents/Apps/Microsoft%20Forms/TAKATSU%20ANALYZE%20REPORT/Question/False%20Reject_Nazar%20Bagus%20H.%2013.PNG","id":"01D6UVHSPMFFEDWVIEDFDKQBIVJR7QHCCS","type":null,"size":1313,"referenceId":"01D6UVHSOX5DG5RX522VGYFCV365U3UBU3","driveId":"b!7qg8FsnQY0iiT36_x6Novv_3J9v4MtxPsytkCbb-ZPz3ScQFcxKeSqI2jw7AAtnZ","status":1,"uploadSessionUrl":null}]</t>
  </si>
  <si>
    <t>yaLqWEx_EU-4xw3UdHGRj8gAFaXc</t>
  </si>
  <si>
    <t>After Re-Assy FFC SUB, Product Become OK</t>
  </si>
  <si>
    <t>AR250410015110</t>
  </si>
  <si>
    <t>RP250416091941</t>
  </si>
  <si>
    <t>Fatal Error 300105</t>
  </si>
  <si>
    <t>Fatal error 300105</t>
  </si>
  <si>
    <t>During SD Card Check in PG Stage</t>
  </si>
  <si>
    <t>Setelah cek SD card</t>
  </si>
  <si>
    <t>After SD card check at PG Stge, found Fatal Error 300105</t>
  </si>
  <si>
    <t>[{"name":"FE 300105_Zainul Muttaqin.png","link":"https://epsongroup-my.sharepoint.com/personal/brian_ramdhani_epson_co_id/Documents/Apps/Microsoft%20Forms/TAKATSU%20ANALYZE%20REPORT/Question/FE%20300105_Zainul%20Muttaqin.png","id":"01D6UVHSPBYZQUYYS3HZGLQL5DDMFKEYXF","type":null,"size":1675,"referenceId":"01D6UVHSOX5DG5RX522VGYFCV365U3UBU3","driveId":"b!7qg8FsnQY0iiT36_x6Novv_3J9v4MtxPsytkCbb-ZPz3ScQFcxKeSqI2jw7AAtnZ","status":1,"uploadSessionUrl":null}]</t>
  </si>
  <si>
    <t>JQyvN-MYjke5ofWNkDJ-tsgAB_sQ</t>
  </si>
  <si>
    <t>Possibility SD card problem</t>
  </si>
  <si>
    <t>Change SD card become OK</t>
  </si>
  <si>
    <t>AR250410024935</t>
  </si>
  <si>
    <t>RP250416090839</t>
  </si>
  <si>
    <t>After ink charge process at printing stage, found DMAV on printing result</t>
  </si>
  <si>
    <t>[{"name":"DMAV_Zainul Muttaqin.jpg","link":"https://epsongroup-my.sharepoint.com/personal/brian_ramdhani_epson_co_id/Documents/Apps/Microsoft%20Forms/TAKATSU%20ANALYZE%20REPORT/Question/DMAV_Zainul%20Muttaqin.jpg","id":"01D6UVHSKH6VE5HCDHBNHYZUUZ6K27UAVL","type":null,"size":130651,"referenceId":"01D6UVHSOX5DG5RX522VGYFCV365U3UBU3","driveId":"b!7qg8FsnQY0iiT36_x6Novv_3J9v4MtxPsytkCbb-ZPz3ScQFcxKeSqI2jw7AAtnZ","status":1,"uploadSessionUrl":null}]</t>
  </si>
  <si>
    <t>xBoAuti7ZkmbUWG-Pixd_cgAC8Yn</t>
  </si>
  <si>
    <t>F/M located on areas outside PH</t>
  </si>
  <si>
    <t>Wiping surface PH, retry in line</t>
  </si>
  <si>
    <t>AR250411093910</t>
  </si>
  <si>
    <t>RP250416090323</t>
  </si>
  <si>
    <t>Takatsu-4D Peeler</t>
  </si>
  <si>
    <t>After ink charge process at printing stage, found DO on printing result</t>
  </si>
  <si>
    <t>[{"name":"Dot Omission_1_Zainul Muttaqin.jpg","link":"https://epsongroup-my.sharepoint.com/personal/brian_ramdhani_epson_co_id/Documents/Apps/Microsoft%20Forms/TAKATSU%20ANALYZE%20REPORT/Question/Dot%20Omission_1_Zainul%20Muttaqin.jpg","id":"01D6UVHSMPQ5D3WITJ3RDLHF57E75PHYPD","type":null,"size":130651,"referenceId":"01D6UVHSOX5DG5RX522VGYFCV365U3UBU3","driveId":"b!7qg8FsnQY0iiT36_x6Novv_3J9v4MtxPsytkCbb-ZPz3ScQFcxKeSqI2jw7AAtnZ","status":1,"uploadSessionUrl":null}]</t>
  </si>
  <si>
    <t>e1OD78oYmEW97V_dFRIqoMgAHABt</t>
  </si>
  <si>
    <t>F/M located on areas inside PH</t>
  </si>
  <si>
    <t>AR250414084728</t>
  </si>
  <si>
    <t>RP250414110057</t>
  </si>
  <si>
    <t>Slack Sen</t>
  </si>
  <si>
    <t>Slack Sensor Check NG</t>
  </si>
  <si>
    <t>Slak sensor ng</t>
  </si>
  <si>
    <t>During Setting 2 [PG Stage] Inspection</t>
  </si>
  <si>
    <t>Saat proses pg</t>
  </si>
  <si>
    <t>During inspection setting 1 in PG Stage, found slack sensor NG</t>
  </si>
  <si>
    <t>[{"name":"Slack Sensor Check NG_Zainul Muttaqin.jpg","link":"https://epsongroup-my.sharepoint.com/personal/brian_ramdhani_epson_co_id/Documents/Apps/Microsoft%20Forms/TAKATSU%20ANALYZE%20REPORT/Question/Slack%20Sensor%20Check%20NG_Zainul%20Muttaqin.jpg","id":"01D6UVHSKCPYFGNZQAOZDLXM334SMADP5K","type":null,"size":31302,"referenceId":"01D6UVHSOX5DG5RX522VGYFCV365U3UBU3","driveId":"b!7qg8FsnQY0iiT36_x6Novv_3J9v4MtxPsytkCbb-ZPz3ScQFcxKeSqI2jw7AAtnZ","status":1,"uploadSessionUrl":null}]</t>
  </si>
  <si>
    <t>zEhjgzgk6E-pDql5wfgmE8gAAm6t</t>
  </si>
  <si>
    <t>Harness detector was broken</t>
  </si>
  <si>
    <t>Assembly defect by operator stage</t>
  </si>
  <si>
    <t xml:space="preserve">1. Slack Sensor Check NG
2. Harness detector was broken
3. Assembly defect by operator stage
4. 
5. </t>
  </si>
  <si>
    <t>Reinding and retraining operator related stage, must be follow checkpoint such as there on SWP</t>
  </si>
  <si>
    <t>AR250414031745</t>
  </si>
  <si>
    <t>RP250416074334</t>
  </si>
  <si>
    <t>TKSAL-008</t>
  </si>
  <si>
    <t>During Initial Charge, Found DMAH on Result Printing</t>
  </si>
  <si>
    <t>[{"name":"False Reject_Nazar Bagus H. 14.PNG","link":"https://epsongroup-my.sharepoint.com/personal/brian_ramdhani_epson_co_id/Documents/Apps/Microsoft%20Forms/TAKATSU%20ANALYZE%20REPORT/Question/False%20Reject_Nazar%20Bagus%20H.%2014.PNG","id":"01D6UVHSJEVVB5UUIARVFIG5POKJDY6FGN","type":null,"size":1313,"referenceId":"01D6UVHSOX5DG5RX522VGYFCV365U3UBU3","driveId":"b!7qg8FsnQY0iiT36_x6Novv_3J9v4MtxPsytkCbb-ZPz3ScQFcxKeSqI2jw7AAtnZ","status":1,"uploadSessionUrl":null}]</t>
  </si>
  <si>
    <t>5fa9TeVPlEOHv_fDbyZgPMgAKwHI</t>
  </si>
  <si>
    <t>Wiping and Vacuum PH in Repair OK</t>
  </si>
  <si>
    <t>AR250414050943</t>
  </si>
  <si>
    <t>RP250415071623</t>
  </si>
  <si>
    <t>Jig 8</t>
  </si>
  <si>
    <t>During printing check after Ink Charge in Printing Stage, found the result printing was DMAH</t>
  </si>
  <si>
    <t>[{"name":"20250415_131348_Zainul Muttaqin 1.jpg","link":"https://epsongroup-my.sharepoint.com/personal/brian_ramdhani_epson_co_id/Documents/Apps/Microsoft%20Forms/TAKATSU%20ANALYZE%20REPORT/Question/20250415_131348_Zainul%20Muttaqin%201.jpg","id":"01D6UVHSOBCI6AJXRLQRHL2X4KAVCENBEN","type":null,"size":2040549,"referenceId":"01D6UVHSOX5DG5RX522VGYFCV365U3UBU3","driveId":"b!7qg8FsnQY0iiT36_x6Novv_3J9v4MtxPsytkCbb-ZPz3ScQFcxKeSqI2jw7AAtnZ","status":1,"uploadSessionUrl":null}]</t>
  </si>
  <si>
    <t>Tm3YbgZFl0a0EueQAr91N8gAC7r9</t>
  </si>
  <si>
    <t>F/M on outside area PH</t>
  </si>
  <si>
    <t>AR250415072553</t>
  </si>
  <si>
    <t>RP250415071254</t>
  </si>
  <si>
    <t>[{"name":"20250415_131348_Zainul Muttaqin.jpg","link":"https://epsongroup-my.sharepoint.com/personal/brian_ramdhani_epson_co_id/Documents/Apps/Microsoft%20Forms/TAKATSU%20ANALYZE%20REPORT/Question/20250415_131348_Zainul%20Muttaqin.jpg","id":"01D6UVHSMBU2I3LD5BMFHLIMJTV5Q32ULJ","type":null,"size":2040549,"referenceId":"01D6UVHSOX5DG5RX522VGYFCV365U3UBU3","driveId":"b!7qg8FsnQY0iiT36_x6Novv_3J9v4MtxPsytkCbb-ZPz3ScQFcxKeSqI2jw7AAtnZ","status":1,"uploadSessionUrl":null}]</t>
  </si>
  <si>
    <t>bXSPOfE4XEi__Cb9w_ad1MgADtgl</t>
  </si>
  <si>
    <t>After wiping 3 times become OK, continue production</t>
  </si>
  <si>
    <t>AR250415080207</t>
  </si>
  <si>
    <t>RP250415070622</t>
  </si>
  <si>
    <t>TKSAL-030</t>
  </si>
  <si>
    <t>Abnormal Panel</t>
  </si>
  <si>
    <t>No inkcharge</t>
  </si>
  <si>
    <t>During Inspection in PG Stage</t>
  </si>
  <si>
    <t>Saat proses ink charge</t>
  </si>
  <si>
    <t>During initialize power ON in PG Stage, found indicator lamp was off</t>
  </si>
  <si>
    <t>[{"name":"20250415_095426_Zainul Muttaqin.jpg","link":"https://epsongroup-my.sharepoint.com/personal/brian_ramdhani_epson_co_id/Documents/Apps/Microsoft%20Forms/TAKATSU%20ANALYZE%20REPORT/Question/20250415_095426_Zainul%20Muttaqin.jpg","id":"01D6UVHSJBM2JRA7SNQFC2W6Y4CXBU2ML4","type":null,"size":2336067,"referenceId":"01D6UVHSOX5DG5RX522VGYFCV365U3UBU3","driveId":"b!7qg8FsnQY0iiT36_x6Novv_3J9v4MtxPsytkCbb-ZPz3ScQFcxKeSqI2jw7AAtnZ","status":1,"uploadSessionUrl":null}]</t>
  </si>
  <si>
    <t>5TOldkhn70Oe-U7h2oyj4cgAAIG-</t>
  </si>
  <si>
    <t>Direct cause Panel Unit NG, still analyze</t>
  </si>
  <si>
    <t>Change panel become OK</t>
  </si>
  <si>
    <t>AR250416074630</t>
  </si>
  <si>
    <t>RP250416021618</t>
  </si>
  <si>
    <t>After CID printing at Printing Stage</t>
  </si>
  <si>
    <t>After process printing CID in Printing Stage, found Fatal Error 5853</t>
  </si>
  <si>
    <t>[{"name":"Fatal Error 5853_Zainul Muttaqin.jpg","link":"https://epsongroup-my.sharepoint.com/personal/brian_ramdhani_epson_co_id/Documents/Apps/Microsoft%20Forms/TAKATSU%20ANALYZE%20REPORT/Question/Fatal%20Error%205853_Zainul%20Muttaqin.jpg","id":"01D6UVHSNC4NED23BKAFB3JD7TVGYU3N6U","type":null,"size":7866,"referenceId":"01D6UVHSOX5DG5RX522VGYFCV365U3UBU3","driveId":"b!7qg8FsnQY0iiT36_x6Novv_3J9v4MtxPsytkCbb-ZPz3ScQFcxKeSqI2jw7AAtnZ","status":1,"uploadSessionUrl":null}]</t>
  </si>
  <si>
    <t>HAH0rIw1Bkq5V-uJjaR4r8gAM9xI</t>
  </si>
  <si>
    <t>Fatal Error 5853 --&gt; Retry pressure pump check, printing all menu become OK</t>
  </si>
  <si>
    <t>Retry pressure pump check, printing all menu become OK, continue production</t>
  </si>
  <si>
    <t>AR250416015516</t>
  </si>
  <si>
    <t>RP250416021935</t>
  </si>
  <si>
    <t>[{"name":"Dot Omission_1_Zainul Muttaqin 1.jpg","link":"https://epsongroup-my.sharepoint.com/personal/brian_ramdhani_epson_co_id/Documents/Apps/Microsoft%20Forms/TAKATSU%20ANALYZE%20REPORT/Question/Dot%20Omission_1_Zainul%20Muttaqin%201.jpg","id":"01D6UVHSJEI3T5ZH45WVCZZC6XEADPFZQR","type":null,"size":130651,"referenceId":"01D6UVHSOX5DG5RX522VGYFCV365U3UBU3","driveId":"b!7qg8FsnQY0iiT36_x6Novv_3J9v4MtxPsytkCbb-ZPz3ScQFcxKeSqI2jw7AAtnZ","status":1,"uploadSessionUrl":null}]</t>
  </si>
  <si>
    <t>dT-cojOnek-BzotwyYjnTcgAKugt</t>
  </si>
  <si>
    <t>Suspect F/M located on areas inside PH</t>
  </si>
  <si>
    <t>Wiping PH first rate in repair, and re-check at Printing Stage</t>
  </si>
  <si>
    <t>AR250421083239</t>
  </si>
  <si>
    <t>RP250423015052</t>
  </si>
  <si>
    <t>Ink Cartr</t>
  </si>
  <si>
    <t>Ink Cartridge Cannot Recognize</t>
  </si>
  <si>
    <t xml:space="preserve">Maintenance error(cannot recognize ink catridge) </t>
  </si>
  <si>
    <t>MA12-Casing</t>
  </si>
  <si>
    <t>Setelah pasang dummy ic</t>
  </si>
  <si>
    <t>During initialize power ON product at External Stage, found I/C cannot recognize</t>
  </si>
  <si>
    <t>[{"name":"IC cannot recognize_Zainul Muttaqin.jpg","link":"https://epsongroup-my.sharepoint.com/personal/brian_ramdhani_epson_co_id/Documents/Apps/Microsoft%20Forms/TAKATSU%20ANALYZE%20REPORT/Question/IC%20cannot%20recognize_Zainul%20Muttaqin.jpg","id":"01D6UVHSOABDDCC3RVRVC34AVMO4H76554","type":null,"size":56281,"referenceId":"01D6UVHSOX5DG5RX522VGYFCV365U3UBU3","driveId":"b!7qg8FsnQY0iiT36_x6Novv_3J9v4MtxPsytkCbb-ZPz3ScQFcxKeSqI2jw7AAtnZ","status":1,"uploadSessionUrl":null}]</t>
  </si>
  <si>
    <t>EFmDu2rRBEirLRCKUHYNOsgAEkG9</t>
  </si>
  <si>
    <t>I/C Cannot Recognize</t>
  </si>
  <si>
    <t>FFC CSIC peeled off</t>
  </si>
  <si>
    <t>Possibility mistake method assembly by operator</t>
  </si>
  <si>
    <t xml:space="preserve">1. I/C Cannot Recognize
2. FFC CSIC peeled off
3. Possibility mistake method assembly by operator
4. 
5. </t>
  </si>
  <si>
    <t>FFC CSIC was peeled off</t>
  </si>
  <si>
    <t>Retraining and reminding operator related stage must be carefully during install and connect. Must be follow checkpoint on SWP.</t>
  </si>
  <si>
    <t>AR250422105231</t>
  </si>
  <si>
    <t>RP250422022028</t>
  </si>
  <si>
    <t>During Initial Ink Charge, Found Ot Omission on Printing Result</t>
  </si>
  <si>
    <t>[{"name":"False Reject_Nazar Bagus H. 15.PNG","link":"https://epsongroup-my.sharepoint.com/personal/brian_ramdhani_epson_co_id/Documents/Apps/Microsoft%20Forms/TAKATSU%20ANALYZE%20REPORT/Question/False%20Reject_Nazar%20Bagus%20H.%2015.PNG","id":"01D6UVHSPK3Z6KRUAHJBHKRC63FOLWQEG5","type":null,"size":1313,"referenceId":"01D6UVHSOX5DG5RX522VGYFCV365U3UBU3","driveId":"b!7qg8FsnQY0iiT36_x6Novv_3J9v4MtxPsytkCbb-ZPz3ScQFcxKeSqI2jw7AAtnZ","status":1,"uploadSessionUrl":null}]</t>
  </si>
  <si>
    <t>WHfeUQTUBkq3u0W7MoRk98gAA5If</t>
  </si>
  <si>
    <t>False Reject, After Initial Charge again, Product become OK</t>
  </si>
  <si>
    <t>Re Initial Charge in Line OK</t>
  </si>
  <si>
    <t>AR250422121333</t>
  </si>
  <si>
    <t>RP250423012833</t>
  </si>
  <si>
    <t>JIG 01</t>
  </si>
  <si>
    <t>During Initial Ink Charge, Found DMAV on Printing Result</t>
  </si>
  <si>
    <t>[{"name":"False Reject_Nazar Bagus H. 16.PNG","link":"https://epsongroup-my.sharepoint.com/personal/brian_ramdhani_epson_co_id/Documents/Apps/Microsoft%20Forms/TAKATSU%20ANALYZE%20REPORT/Question/False%20Reject_Nazar%20Bagus%20H.%2016.PNG","id":"01D6UVHSK2ZLGOCG63VFDJSU2F7X4VNBG2","type":null,"size":1313,"referenceId":"01D6UVHSOX5DG5RX522VGYFCV365U3UBU3","driveId":"b!7qg8FsnQY0iiT36_x6Novv_3J9v4MtxPsytkCbb-ZPz3ScQFcxKeSqI2jw7AAtnZ","status":1,"uploadSessionUrl":null}]</t>
  </si>
  <si>
    <t>BUvvxW-T90i4iKEPiHMSZsgAJZju</t>
  </si>
  <si>
    <t>False Reject, After Wiping PH, Product become OK</t>
  </si>
  <si>
    <t>AR250423073852</t>
  </si>
  <si>
    <t>RP250424040357</t>
  </si>
  <si>
    <t>PAPER END</t>
  </si>
  <si>
    <t>PAPER END SENSOR NG</t>
  </si>
  <si>
    <t>Paper en no fungtion</t>
  </si>
  <si>
    <t>Proses cek sensor</t>
  </si>
  <si>
    <t>During external inspection at External stage found paper end sensor detected NG</t>
  </si>
  <si>
    <t>[{"name":"Picture1_Muhammad Dzaki Taufi.png","link":"https://epsongroup-my.sharepoint.com/personal/brian_ramdhani_epson_co_id/Documents/Apps/Microsoft%20Forms/TAKATSU%20ANALYZE%20REPORT/Question/Picture1_Muhammad%20Dzaki%20Taufi.png","id":"01D6UVHSOBG2KADYDOKZBJHK2JDVDMJAFZ","type":null,"size":967995,"referenceId":"01D6UVHSOX5DG5RX522VGYFCV365U3UBU3","driveId":"b!7qg8FsnQY0iiT36_x6Novv_3J9v4MtxPsytkCbb-ZPz3ScQFcxKeSqI2jw7AAtnZ","status":1,"uploadSessionUrl":null}]</t>
  </si>
  <si>
    <t>3Lp3CPtwLkKRi3sKd1-HWMgAFmV0</t>
  </si>
  <si>
    <t>Spring NG [Spring's corner is NG]</t>
  </si>
  <si>
    <t>Segregate Stock PGU Unit (level assy) 0/12 not found NG, Segregate Spring (level part) not found NG</t>
  </si>
  <si>
    <t>Muhammad Dzaki Taufiqurrahman Kismana</t>
  </si>
  <si>
    <t>AR250424115603</t>
  </si>
  <si>
    <t>RP250429070111</t>
  </si>
  <si>
    <t>Auto cutter ng</t>
  </si>
  <si>
    <t>DUring Printing Process</t>
  </si>
  <si>
    <t>Saat print calibrasi</t>
  </si>
  <si>
    <t>During Initial Paper Loading, found Paper Stuck into Auto Cutter</t>
  </si>
  <si>
    <t>[{"name":"Paper Jam Auto Cutter_Nazar Bagus H. 1.jpg","link":"https://epsongroup-my.sharepoint.com/personal/brian_ramdhani_epson_co_id/Documents/Apps/Microsoft%20Forms/TAKATSU%20ANALYZE%20REPORT/Question/Paper%20Jam%20Auto%20Cutter_Nazar%20Bagus%20H.%201.jpg","id":"01D6UVHSLTNYOKMGYZCZBJQONESXNG4J5D","type":null,"size":82435,"referenceId":"01D6UVHSOX5DG5RX522VGYFCV365U3UBU3","driveId":"b!7qg8FsnQY0iiT36_x6Novv_3J9v4MtxPsytkCbb-ZPz3ScQFcxKeSqI2jw7AAtnZ","status":1,"uploadSessionUrl":null}]</t>
  </si>
  <si>
    <t>4KxWvwUn6UmSF-54TJCw-8gAN3OC</t>
  </si>
  <si>
    <t>Possibility Fixed Blade Character E NG (Profil Kelengkungan)</t>
  </si>
  <si>
    <t>Change Fixed Blade and Measure Character E on NG Fixed Blade.</t>
  </si>
  <si>
    <t>AR250425101919</t>
  </si>
  <si>
    <t>RP250506091334</t>
  </si>
  <si>
    <t>Takatsu-4D Autocutter</t>
  </si>
  <si>
    <t>[{"name":"DMAV_Nazar Bagus H. 3.jpg","link":"https://epsongroup-my.sharepoint.com/personal/brian_ramdhani_epson_co_id/Documents/Apps/Microsoft%20Forms/TAKATSU%20ANALYZE%20REPORT/Question/DMAV_Nazar%20Bagus%20H.%203.jpg","id":"01D6UVHSJ3QHM573EEYNBYB7PFRRBIRZWG","type":null,"size":52376,"referenceId":"01D6UVHSOX5DG5RX522VGYFCV365U3UBU3","driveId":"b!7qg8FsnQY0iiT36_x6Novv_3J9v4MtxPsytkCbb-ZPz3ScQFcxKeSqI2jw7AAtnZ","status":1,"uploadSessionUrl":null}]</t>
  </si>
  <si>
    <t>NC_A8RFiWEW5nDCLuAS_HcgAA3vZ</t>
  </si>
  <si>
    <t>NZ Organic inside Nozzle PH</t>
  </si>
  <si>
    <t>Periodically CHange FIlter because Filter life span over due</t>
  </si>
  <si>
    <t>AR250425113836</t>
  </si>
  <si>
    <t>RP250429062035</t>
  </si>
  <si>
    <t>Takatsu-8D Autocutter</t>
  </si>
  <si>
    <t>TKSAL-003</t>
  </si>
  <si>
    <t>Abnormal panel  louding</t>
  </si>
  <si>
    <t>During Initial Power On at Stage PG, Display Stuck on Loading Display.</t>
  </si>
  <si>
    <t>[{"name":"Abnormal Panel_Nazar Bagus H..jpg","link":"https://epsongroup-my.sharepoint.com/personal/brian_ramdhani_epson_co_id/Documents/Apps/Microsoft%20Forms/TAKATSU%20ANALYZE%20REPORT/Question/Abnormal%20Panel_Nazar%20Bagus%20H..jpg","id":"01D6UVHSOOA3RYWWKYAJDZ224OVSH6AITN","type":null,"size":394804,"referenceId":"01D6UVHSOX5DG5RX522VGYFCV365U3UBU3","driveId":"b!7qg8FsnQY0iiT36_x6Novv_3J9v4MtxPsytkCbb-ZPz3ScQFcxKeSqI2jw7AAtnZ","status":1,"uploadSessionUrl":null}]</t>
  </si>
  <si>
    <t>qfMeoYQ8Bk60P1dD_0mDTcgAItJn</t>
  </si>
  <si>
    <t>Pressure Pump no FUnction</t>
  </si>
  <si>
    <t>Change Pressure Pump and Deep Analyze NG Pressure Pump</t>
  </si>
  <si>
    <t>AR250425025125</t>
  </si>
  <si>
    <t>RP250506091614</t>
  </si>
  <si>
    <t>Jig 07 (PH pending) after wipping</t>
  </si>
  <si>
    <t>[{"name":"DMAV_Nazar Bagus H. 4.jpg","link":"https://epsongroup-my.sharepoint.com/personal/brian_ramdhani_epson_co_id/Documents/Apps/Microsoft%20Forms/TAKATSU%20ANALYZE%20REPORT/Question/DMAV_Nazar%20Bagus%20H.%204.jpg","id":"01D6UVHSP2AHJR6GGELBCLHJBU7W34XSNL","type":null,"size":52376,"referenceId":"01D6UVHSOX5DG5RX522VGYFCV365U3UBU3","driveId":"b!7qg8FsnQY0iiT36_x6Novv_3J9v4MtxPsytkCbb-ZPz3ScQFcxKeSqI2jw7AAtnZ","status":1,"uploadSessionUrl":null}]</t>
  </si>
  <si>
    <t>R8QElZmcSU6QPdlV2U3q58gAKds_</t>
  </si>
  <si>
    <t>AR250429073528</t>
  </si>
  <si>
    <t>RP250429051121</t>
  </si>
  <si>
    <t>Wait Pape</t>
  </si>
  <si>
    <t>Wait Paper Remove</t>
  </si>
  <si>
    <t>During Initial Setting at Internal Stage</t>
  </si>
  <si>
    <t>During initial setting at Internal Stage, monitor shown wait paper remove</t>
  </si>
  <si>
    <t>[{"name":"Wait Paper Remove_GPLU_Zainul Muttaqin.jpg","link":"https://epsongroup-my.sharepoint.com/personal/brian_ramdhani_epson_co_id/Documents/Apps/Microsoft%20Forms/TAKATSU%20ANALYZE%20REPORT/Question/Wait%20Paper%20Remove_GPLU_Zainul%20Muttaqin.jpg","id":"01D6UVHSPQJHCV4NSM5BAYA4FSZZBF5LXP","type":null,"size":79968,"referenceId":"01D6UVHSOX5DG5RX522VGYFCV365U3UBU3","driveId":"b!7qg8FsnQY0iiT36_x6Novv_3J9v4MtxPsytkCbb-ZPz3ScQFcxKeSqI2jw7AAtnZ","status":1,"uploadSessionUrl":null}]</t>
  </si>
  <si>
    <t>JoRvC1ZTj0aWU6LMdVxaRcgABPIE</t>
  </si>
  <si>
    <t>Detector NG</t>
  </si>
  <si>
    <t>Trial detector NG to OK product</t>
  </si>
  <si>
    <t>AR250429073800</t>
  </si>
  <si>
    <t>RP250429051737</t>
  </si>
  <si>
    <t>During Printing Process</t>
  </si>
  <si>
    <t>Saat proses menu 3</t>
  </si>
  <si>
    <t>[{"name":"Paper Jam Auto Cutter_Nazar Bagus H..jpg","link":"https://epsongroup-my.sharepoint.com/personal/brian_ramdhani_epson_co_id/Documents/Apps/Microsoft%20Forms/TAKATSU%20ANALYZE%20REPORT/Question/Paper%20Jam%20Auto%20Cutter_Nazar%20Bagus%20H..jpg","id":"01D6UVHSLYE254N2JP7ZA33WQWMTV377ZR","type":null,"size":82435,"referenceId":"01D6UVHSOX5DG5RX522VGYFCV365U3UBU3","driveId":"b!7qg8FsnQY0iiT36_x6Novv_3J9v4MtxPsytkCbb-ZPz3ScQFcxKeSqI2jw7AAtnZ","status":1,"uploadSessionUrl":null}]</t>
  </si>
  <si>
    <t>lWV_84dWUkiL1Fziy-6wq8gAIXFd</t>
  </si>
  <si>
    <t xml:space="preserve">Change Fixed Blade and Measure Character E on NG Fixed Blade. </t>
  </si>
  <si>
    <t>AR250430112119</t>
  </si>
  <si>
    <t>RP250506092123</t>
  </si>
  <si>
    <t>Heard Small Noise During MNU Measurement</t>
  </si>
  <si>
    <t>[{"name":"False Reject_Nazar Bagus H. 18.PNG","link":"https://epsongroup-my.sharepoint.com/personal/brian_ramdhani_epson_co_id/Documents/Apps/Microsoft%20Forms/TAKATSU%20ANALYZE%20REPORT/Question/False%20Reject_Nazar%20Bagus%20H.%2018.PNG","id":"01D6UVHSI75CMBBGVCWZG23JUSS6W5RDFJ","type":null,"size":1313,"referenceId":"01D6UVHSOX5DG5RX522VGYFCV365U3UBU3","driveId":"b!7qg8FsnQY0iiT36_x6Novv_3J9v4MtxPsytkCbb-ZPz3ScQFcxKeSqI2jw7AAtnZ","status":1,"uploadSessionUrl":null}]</t>
  </si>
  <si>
    <t>0ByY7r_QgEWSuc5z-BWlTcgAPFCK</t>
  </si>
  <si>
    <t>False Reject, Noise not identified as Abnormality</t>
  </si>
  <si>
    <t>AR250430114444</t>
  </si>
  <si>
    <t>RP250430035858</t>
  </si>
  <si>
    <t>TKSAL-011</t>
  </si>
  <si>
    <t>Saat proses ear leak</t>
  </si>
  <si>
    <t>Missing Phenomenon</t>
  </si>
  <si>
    <t>[{"name":"False Reject_Nazar Bagus H. 17.PNG","link":"https://epsongroup-my.sharepoint.com/personal/brian_ramdhani_epson_co_id/Documents/Apps/Microsoft%20Forms/TAKATSU%20ANALYZE%20REPORT/Question/False%20Reject_Nazar%20Bagus%20H.%2017.PNG","id":"01D6UVHSI3BQAQIET7GZFYBONZGO4TT5HQ","type":null,"size":1313,"referenceId":"01D6UVHSOX5DG5RX522VGYFCV365U3UBU3","driveId":"b!7qg8FsnQY0iiT36_x6Novv_3J9v4MtxPsytkCbb-ZPz3ScQFcxKeSqI2jw7AAtnZ","status":1,"uploadSessionUrl":null}]</t>
  </si>
  <si>
    <t>C_mpbmwiK0Ss3awCp-oTecgAH8RS</t>
  </si>
  <si>
    <t>AR250430030458</t>
  </si>
  <si>
    <t>RP250506092440</t>
  </si>
  <si>
    <t>During Initial Ink Charge, Found DO on Printing Result</t>
  </si>
  <si>
    <t>[{"name":"DMAV_Nazar Bagus H. 5.jpg","link":"https://epsongroup-my.sharepoint.com/personal/brian_ramdhani_epson_co_id/Documents/Apps/Microsoft%20Forms/TAKATSU%20ANALYZE%20REPORT/Question/DMAV_Nazar%20Bagus%20H.%205.jpg","id":"01D6UVHSIY6PSIDIE6LBH3BLZAAL3JBLVN","type":null,"size":52376,"referenceId":"01D6UVHSOX5DG5RX522VGYFCV365U3UBU3","driveId":"b!7qg8FsnQY0iiT36_x6Novv_3J9v4MtxPsytkCbb-ZPz3ScQFcxKeSqI2jw7AAtnZ","status":1,"uploadSessionUrl":null}]</t>
  </si>
  <si>
    <t>AQVrZFrgHUeHGsqDrrX-PMgAPDGO</t>
  </si>
  <si>
    <t>SUS_304 inside Nozzle PH</t>
  </si>
  <si>
    <t>AR250505084114</t>
  </si>
  <si>
    <t>RP250509074222</t>
  </si>
  <si>
    <t>Holder St</t>
  </si>
  <si>
    <t>Holder Starwheel Loose</t>
  </si>
  <si>
    <t>Starwheel loose</t>
  </si>
  <si>
    <t>During install holder starwheel in PG Stage</t>
  </si>
  <si>
    <t>During OPR install holder starwheel to product, found holder starwheel can not lock</t>
  </si>
  <si>
    <t>[{"name":"Holder Starwheel Loose_Zainul Muttaqin.jpg","link":"https://epsongroup-my.sharepoint.com/personal/brian_ramdhani_epson_co_id/Documents/Apps/Microsoft%20Forms/TAKATSU%20ANALYZE%20REPORT/Question/Holder%20Starwheel%20Loose_Zainul%20Muttaqin.jpg","id":"01D6UVHSMFQOP4HKW4PZELXLMYIIRHCGD5","type":null,"size":79987,"referenceId":"01D6UVHSOX5DG5RX522VGYFCV365U3UBU3","driveId":"b!7qg8FsnQY0iiT36_x6Novv_3J9v4MtxPsytkCbb-ZPz3ScQFcxKeSqI2jw7AAtnZ","status":1,"uploadSessionUrl":null}]</t>
  </si>
  <si>
    <t>YBSkNU1dt0CyxEjDOvBlwMgAMs4J</t>
  </si>
  <si>
    <t>Frame CR Front Unposition, assembly process by OPR [Possibility during fitting Frame CR Front to Frame CR Right/Left and Frame PF Right/Left]</t>
  </si>
  <si>
    <t>- Re-assembly  Frame CR Front to product, become OK, holder starwheel can be installed and can be locked. - Re-training and reminding operator related stage to follow checkpoint on SWP.</t>
  </si>
  <si>
    <t>AR250505020121</t>
  </si>
  <si>
    <t>RP250506092956</t>
  </si>
  <si>
    <t>Panel louding</t>
  </si>
  <si>
    <t>During Update Firmware, Appear Update Firmware Update Failed</t>
  </si>
  <si>
    <t>[{"name":"Update Firmware Failed_Nazar Bagus H..jpg","link":"https://epsongroup-my.sharepoint.com/personal/brian_ramdhani_epson_co_id/Documents/Apps/Microsoft%20Forms/TAKATSU%20ANALYZE%20REPORT/Question/Update%20Firmware%20Failed_Nazar%20Bagus%20H..jpg","id":"01D6UVHSLILYATHQ4FA5H3CR64LD2N2GDE","type":null,"size":81288,"referenceId":"01D6UVHSOX5DG5RX522VGYFCV365U3UBU3","driveId":"b!7qg8FsnQY0iiT36_x6Novv_3J9v4MtxPsytkCbb-ZPz3ScQFcxKeSqI2jw7AAtnZ","status":1,"uploadSessionUrl":null}]</t>
  </si>
  <si>
    <t>L-j4VOyhA0ep9ShOeeo-FcgAHclR</t>
  </si>
  <si>
    <t>CH77 Prog NG</t>
  </si>
  <si>
    <t>Change with new CH77 Prog product become OK</t>
  </si>
  <si>
    <t>AR250506014759</t>
  </si>
  <si>
    <t>RP250522081029</t>
  </si>
  <si>
    <t>During printing process, Find NG DO in result Nozzle Check</t>
  </si>
  <si>
    <t>[{"name":"1746582814202_Muhammad Dzaki Taufi.jpg","link":"https://epsongroup-my.sharepoint.com/personal/brian_ramdhani_epson_co_id/Documents/Apps/Microsoft%20Forms/TAKATSU%20ANALYZE%20REPORT/Question/1746582814202_Muhammad%20Dzaki%20Taufi.jpg","id":"01D6UVHSMU7EFJBU55WBEYTDRP7QLNG522","type":null,"size":3211252,"referenceId":"01D6UVHSOX5DG5RX522VGYFCV365U3UBU3","driveId":"b!7qg8FsnQY0iiT36_x6Novv_3J9v4MtxPsytkCbb-ZPz3ScQFcxKeSqI2jw7AAtnZ","status":1,"uploadSessionUrl":null}]</t>
  </si>
  <si>
    <t>DcdLrNVMoE6CZu8dWrPImMgAG6wn</t>
  </si>
  <si>
    <t>Still Analyze by PH Dept for deep analyze</t>
  </si>
  <si>
    <t>Change new PH in Line, cleaning Joint PH Equipment and 5S Printing Area</t>
  </si>
  <si>
    <t>AR250507112857</t>
  </si>
  <si>
    <t>RP250509071448</t>
  </si>
  <si>
    <t>TKSAL-032</t>
  </si>
  <si>
    <t>PF Scale Check NG</t>
  </si>
  <si>
    <t>Pf Scala cek ng</t>
  </si>
  <si>
    <t>During PF Scale Check in PG Stage</t>
  </si>
  <si>
    <t>During PF Scale Check inspection in PG Stage, found valueof PF Scale Check out of STD</t>
  </si>
  <si>
    <t>[{"name":"20250507_141802_Zainul Muttaqin.jpg","link":"https://epsongroup-my.sharepoint.com/personal/brian_ramdhani_epson_co_id/Documents/Apps/Microsoft%20Forms/TAKATSU%20ANALYZE%20REPORT/Question/20250507_141802_Zainul%20Muttaqin.jpg","id":"01D6UVHSMDEL2XJVCGLJBK6YXBIB532CFL","type":null,"size":2164056,"referenceId":"01D6UVHSOX5DG5RX522VGYFCV365U3UBU3","driveId":"b!7qg8FsnQY0iiT36_x6Novv_3J9v4MtxPsytkCbb-ZPz3ScQFcxKeSqI2jw7AAtnZ","status":1,"uploadSessionUrl":null}]</t>
  </si>
  <si>
    <t>iwrXJDwcLkCRNe2iijFmmcgAMPE3</t>
  </si>
  <si>
    <t>Board Assy Encoder NG</t>
  </si>
  <si>
    <t>Still analyze by PCB Engineering [Pak Dwimas]</t>
  </si>
  <si>
    <t xml:space="preserve">1. PF Scale Check NG
2. Board Assy Encoder NG
3. Still analyze by PCB Engineering [Pak Dwimas]
4. 
5. </t>
  </si>
  <si>
    <t>Still analyze by PCB Eng</t>
  </si>
  <si>
    <t>Change Encoder PF Scale, still analyze by PCB Eng</t>
  </si>
  <si>
    <t>AR250508092108</t>
  </si>
  <si>
    <t>RP250515032348</t>
  </si>
  <si>
    <t>Takatsu-8D Peeler</t>
  </si>
  <si>
    <t>During printing Nozzle Check Process, Find NG Unstable Printing</t>
  </si>
  <si>
    <t>[{"name":"1746786816172_Muhammad Dzaki Taufi.jpg","link":"https://epsongroup-my.sharepoint.com/personal/brian_ramdhani_epson_co_id/Documents/Apps/Microsoft%20Forms/TAKATSU%20ANALYZE%20REPORT/Question/1746786816172_Muhammad%20Dzaki%20Taufi.jpg","id":"01D6UVHSNM456S7YUAHRHL6T2PBT7JP5QW","type":null,"size":3476745,"referenceId":"01D6UVHSOX5DG5RX522VGYFCV365U3UBU3","driveId":"b!7qg8FsnQY0iiT36_x6Novv_3J9v4MtxPsytkCbb-ZPz3ScQFcxKeSqI2jw7AAtnZ","status":1,"uploadSessionUrl":null}]</t>
  </si>
  <si>
    <t>8cq2wRtjTkqV5KH1yIFJYcgAOfLa</t>
  </si>
  <si>
    <t>Still Analyze by Collecting NVT Data. (PH NG Actual still keep at Production)</t>
  </si>
  <si>
    <t>AR250513075958</t>
  </si>
  <si>
    <t>RP250521084234</t>
  </si>
  <si>
    <t>During Initial Power On, Heard Abnormal Noise on Product</t>
  </si>
  <si>
    <t>[{"name":"False Reject_Nazar Bagus H. 19.PNG","link":"https://epsongroup-my.sharepoint.com/personal/brian_ramdhani_epson_co_id/Documents/Apps/Microsoft%20Forms/TAKATSU%20ANALYZE%20REPORT/Question/False%20Reject_Nazar%20Bagus%20H.%2019.PNG","id":"01D6UVHSJ5LGWEL4AODBHJBW5DAV27T6BK","type":null,"size":1313,"referenceId":"01D6UVHSOX5DG5RX522VGYFCV365U3UBU3","driveId":"b!7qg8FsnQY0iiT36_x6Novv_3J9v4MtxPsytkCbb-ZPz3ScQFcxKeSqI2jw7AAtnZ","status":1,"uploadSessionUrl":null}]</t>
  </si>
  <si>
    <t>aymsN47rxkKB6tpIZxwFz8gAOg8g</t>
  </si>
  <si>
    <t>Possibility Pressure Pump NG</t>
  </si>
  <si>
    <t>Change To New Pressure Pump, Keep Pressure Pump NG and Trial to another Product to do NG Verification</t>
  </si>
  <si>
    <t>AR250513041811</t>
  </si>
  <si>
    <t>RP250515101733</t>
  </si>
  <si>
    <t>During Initial Ink Charge, Found Unstable on Printing Nozzle Check Result</t>
  </si>
  <si>
    <t>[{"name":"1747188930310_Muhammad Dzaki Taufi.jpg","link":"https://epsongroup-my.sharepoint.com/personal/brian_ramdhani_epson_co_id/Documents/Apps/Microsoft%20Forms/TAKATSU%20ANALYZE%20REPORT/Question/1747188930310_Muhammad%20Dzaki%20Taufi.jpg","id":"01D6UVHSKJWU3MTATMNVBLY4TPU5IHIKB6","type":null,"size":3695264,"referenceId":"01D6UVHSOX5DG5RX522VGYFCV365U3UBU3","driveId":"b!7qg8FsnQY0iiT36_x6Novv_3J9v4MtxPsytkCbb-ZPz3ScQFcxKeSqI2jw7AAtnZ","status":1,"uploadSessionUrl":null}]</t>
  </si>
  <si>
    <t>QTVA3UkrskWSy6LZsPbkF8gACRWS</t>
  </si>
  <si>
    <t xml:space="preserve">False Reject. After Ink Discharge Process, Product become OK </t>
  </si>
  <si>
    <t>AR250514032912</t>
  </si>
  <si>
    <t>RP250515052036</t>
  </si>
  <si>
    <t>TKSAL-031</t>
  </si>
  <si>
    <t>CR Scale Check NG</t>
  </si>
  <si>
    <t xml:space="preserve">Incurred ID(6) </t>
  </si>
  <si>
    <t>During External Stage</t>
  </si>
  <si>
    <t>saat proses cr scale cek</t>
  </si>
  <si>
    <t>During CR Scale Check at Stage External, Appear ID 6 on Display PC</t>
  </si>
  <si>
    <t>[{"name":"CR Scale Check NG_Nazar Bagus H..jpg","link":"https://epsongroup-my.sharepoint.com/personal/brian_ramdhani_epson_co_id/Documents/Apps/Microsoft%20Forms/TAKATSU%20ANALYZE%20REPORT/Question/CR%20Scale%20Check%20NG_Nazar%20Bagus%20H..jpg","id":"01D6UVHSKJOFXP4UR6JBDZ3MZUHY7NCSJ7","type":null,"size":54364,"referenceId":"01D6UVHSOX5DG5RX522VGYFCV365U3UBU3","driveId":"b!7qg8FsnQY0iiT36_x6Novv_3J9v4MtxPsytkCbb-ZPz3ScQFcxKeSqI2jw7AAtnZ","status":1,"uploadSessionUrl":null}]</t>
  </si>
  <si>
    <t>y39eLzsqPUaFZQkWu45MKcgAFPmI</t>
  </si>
  <si>
    <t>CR Scale Dirty</t>
  </si>
  <si>
    <t xml:space="preserve">Wipe CR Scale using Tracy Become OK </t>
  </si>
  <si>
    <t>AR250515082952</t>
  </si>
  <si>
    <t>RP250522080122</t>
  </si>
  <si>
    <t>During printing process, Find NG DMAV in result Nozzle Check</t>
  </si>
  <si>
    <t>[{"name":"1747366412752_Muhammad Dzaki Taufi.jpg","link":"https://epsongroup-my.sharepoint.com/personal/brian_ramdhani_epson_co_id/Documents/Apps/Microsoft%20Forms/TAKATSU%20ANALYZE%20REPORT/Question/1747366412752_Muhammad%20Dzaki%20Taufi.jpg","id":"01D6UVHSNGQKI4XB3ZPZF3LSQTN2ITFXPN","type":null,"size":3644165,"referenceId":"01D6UVHSOX5DG5RX522VGYFCV365U3UBU3","driveId":"b!7qg8FsnQY0iiT36_x6Novv_3J9v4MtxPsytkCbb-ZPz3ScQFcxKeSqI2jw7AAtnZ","status":1,"uploadSessionUrl":null}]</t>
  </si>
  <si>
    <t>tuIvMAcXj0Gu5xz37_zYlsgAJWdN</t>
  </si>
  <si>
    <t xml:space="preserve">Still Analyze by Collecting NVT Data. </t>
  </si>
  <si>
    <t>AR250519120542</t>
  </si>
  <si>
    <t>RP250521085538</t>
  </si>
  <si>
    <t>Update firmware failed</t>
  </si>
  <si>
    <t>Proses update firmware</t>
  </si>
  <si>
    <t>Appear Abnormal Display During Initial Power On at Stage Air Leak</t>
  </si>
  <si>
    <t>[{"name":"Update Firmware Failed_Nazar Bagus H. 1.jpg","link":"https://epsongroup-my.sharepoint.com/personal/brian_ramdhani_epson_co_id/Documents/Apps/Microsoft%20Forms/TAKATSU%20ANALYZE%20REPORT/Question/Update%20Firmware%20Failed_Nazar%20Bagus%20H.%201.jpg","id":"01D6UVHSMJ76YH4THCNFE3J7QPNEEVD55C","type":null,"size":81288,"referenceId":"01D6UVHSOX5DG5RX522VGYFCV365U3UBU3","driveId":"b!7qg8FsnQY0iiT36_x6Novv_3J9v4MtxPsytkCbb-ZPz3ScQFcxKeSqI2jw7AAtnZ","status":1,"uploadSessionUrl":null}]</t>
  </si>
  <si>
    <t>Ej3Q4FfG_ECYqMt6GXKwpsgAJ0jE</t>
  </si>
  <si>
    <t>Keep CH77 Prog NG to do NG Verification</t>
  </si>
  <si>
    <t>AR250521102354</t>
  </si>
  <si>
    <t>RP250521062214</t>
  </si>
  <si>
    <t>Proses printing</t>
  </si>
  <si>
    <t>Heard Noise During Platen Fan Operating</t>
  </si>
  <si>
    <t>[{"name":"False Reject_Nazar Bagus H. 20.PNG","link":"https://epsongroup-my.sharepoint.com/personal/brian_ramdhani_epson_co_id/Documents/Apps/Microsoft%20Forms/TAKATSU%20ANALYZE%20REPORT/Question/False%20Reject_Nazar%20Bagus%20H.%2020.PNG","id":"01D6UVHSICB76U43WYTBHIAOYLAJ2MY5BW","type":null,"size":1313,"referenceId":"01D6UVHSOX5DG5RX522VGYFCV365U3UBU3","driveId":"b!7qg8FsnQY0iiT36_x6Novv_3J9v4MtxPsytkCbb-ZPz3ScQFcxKeSqI2jw7AAtnZ","status":1,"uploadSessionUrl":null}]</t>
  </si>
  <si>
    <t>rUjLPlbciUqTI1amNUkU_sgACAPh</t>
  </si>
  <si>
    <t>AR250521010227</t>
  </si>
  <si>
    <t>RP250522075224</t>
  </si>
  <si>
    <t>During printing Nozzle Check Process, Find NG DO</t>
  </si>
  <si>
    <t>[{"name":"1747872225278_Muhammad Dzaki Taufi.jpg","link":"https://epsongroup-my.sharepoint.com/personal/brian_ramdhani_epson_co_id/Documents/Apps/Microsoft%20Forms/TAKATSU%20ANALYZE%20REPORT/Question/1747872225278_Muhammad%20Dzaki%20Taufi.jpg","id":"01D6UVHSOC6GQJL222TJFZHJBHYYLFBNV5","type":null,"size":3849222,"referenceId":"01D6UVHSOX5DG5RX522VGYFCV365U3UBU3","driveId":"b!7qg8FsnQY0iiT36_x6Novv_3J9v4MtxPsytkCbb-ZPz3ScQFcxKeSqI2jw7AAtnZ","status":1,"uploadSessionUrl":null}]</t>
  </si>
  <si>
    <t>HubN5OZh3k-UwuempqvhTcgADYWc</t>
  </si>
  <si>
    <t>AR250522081006</t>
  </si>
  <si>
    <t>RP250522065830</t>
  </si>
  <si>
    <t>Heard Noise near Area Platen Unit</t>
  </si>
  <si>
    <t>[{"name":"False Reject_Nazar Bagus H. 21.PNG","link":"https://epsongroup-my.sharepoint.com/personal/brian_ramdhani_epson_co_id/Documents/Apps/Microsoft%20Forms/TAKATSU%20ANALYZE%20REPORT/Question/False%20Reject_Nazar%20Bagus%20H.%2021.PNG","id":"01D6UVHSP265MSI44Q4VHYC44OFSUA3WHK","type":null,"size":1313,"referenceId":"01D6UVHSOX5DG5RX522VGYFCV365U3UBU3","driveId":"b!7qg8FsnQY0iiT36_x6Novv_3J9v4MtxPsytkCbb-ZPz3ScQFcxKeSqI2jw7AAtnZ","status":1,"uploadSessionUrl":null}]</t>
  </si>
  <si>
    <t>P-olkp6bnUKQJKgU7FKvSMgANiac</t>
  </si>
  <si>
    <t>Check in Line OK, not so different with Other Mecha</t>
  </si>
  <si>
    <t>AR250522010601</t>
  </si>
  <si>
    <t>RP250526080053</t>
  </si>
  <si>
    <t>[{"name":"1748218413217_Muhammad Dzaki Taufi.jpg","link":"https://epsongroup-my.sharepoint.com/personal/brian_ramdhani_epson_co_id/Documents/Apps/Microsoft%20Forms/TAKATSU%20ANALYZE%20REPORT/Question/1748218413217_Muhammad%20Dzaki%20Taufi.jpg","id":"01D6UVHSKJCCRP7Y3QDNDLUECXGD7MKP7H","type":null,"size":4837413,"referenceId":"01D6UVHSOX5DG5RX522VGYFCV365U3UBU3","driveId":"b!7qg8FsnQY0iiT36_x6Novv_3J9v4MtxPsytkCbb-ZPz3ScQFcxKeSqI2jw7AAtnZ","status":1,"uploadSessionUrl":null}]</t>
  </si>
  <si>
    <t>IXwlLPFi70Khj2gp7xWaWsgAGHIw</t>
  </si>
  <si>
    <t>AR250522061829</t>
  </si>
  <si>
    <t>RP250522072126</t>
  </si>
  <si>
    <t>TKSAL-025</t>
  </si>
  <si>
    <t>During Shutter Check Inspection, Found Suction Value NG</t>
  </si>
  <si>
    <t>[{"name":"False Reject_Nazar Bagus H. 22.PNG","link":"https://epsongroup-my.sharepoint.com/personal/brian_ramdhani_epson_co_id/Documents/Apps/Microsoft%20Forms/TAKATSU%20ANALYZE%20REPORT/Question/False%20Reject_Nazar%20Bagus%20H.%2022.PNG","id":"01D6UVHSIGYIVTCOUHOVAYLEA374AXZLNI","type":null,"size":1313,"referenceId":"01D6UVHSOX5DG5RX522VGYFCV365U3UBU3","driveId":"b!7qg8FsnQY0iiT36_x6Novv_3J9v4MtxPsytkCbb-ZPz3ScQFcxKeSqI2jw7AAtnZ","status":1,"uploadSessionUrl":null}]</t>
  </si>
  <si>
    <t>u2SOERYjnE6DqFdFZMJ4e8gAOd-4</t>
  </si>
  <si>
    <t>Re Check in Line OK</t>
  </si>
  <si>
    <t>AR250523080135</t>
  </si>
  <si>
    <t>RP250523031239</t>
  </si>
  <si>
    <t>Abnormal panel louding</t>
  </si>
  <si>
    <t xml:space="preserve">During </t>
  </si>
  <si>
    <t>During Initial Power On, Found Display not booting (Always on Loading Screen)</t>
  </si>
  <si>
    <t>[{"name":"False Reject_Nazar Bagus H. 23.PNG","link":"https://epsongroup-my.sharepoint.com/personal/brian_ramdhani_epson_co_id/Documents/Apps/Microsoft%20Forms/TAKATSU%20ANALYZE%20REPORT/Question/False%20Reject_Nazar%20Bagus%20H.%2023.PNG","id":"01D6UVHSNHXOXQIXB3DVAIUWF4MCEKJIAW","type":null,"size":1313,"referenceId":"01D6UVHSOX5DG5RX522VGYFCV365U3UBU3","driveId":"b!7qg8FsnQY0iiT36_x6Novv_3J9v4MtxPsytkCbb-ZPz3ScQFcxKeSqI2jw7AAtnZ","status":1,"uploadSessionUrl":null}]</t>
  </si>
  <si>
    <t>Oc6RRWyofUG2asfDncEhzsgAA9QC</t>
  </si>
  <si>
    <t>FFC Main not Connected Properly</t>
  </si>
  <si>
    <t>Reconnect FFC Become OK</t>
  </si>
  <si>
    <t>AR250526020911</t>
  </si>
  <si>
    <t>RP250528085616</t>
  </si>
  <si>
    <t>TKSAL-006</t>
  </si>
  <si>
    <t>Found NG During CR Measurement Check at Stage PG</t>
  </si>
  <si>
    <t>[{"name":"CR Measurement_Nazar Bagus H. 1.png","link":"https://epsongroup-my.sharepoint.com/personal/brian_ramdhani_epson_co_id/Documents/Apps/Microsoft%20Forms/TAKATSU%20ANALYZE%20REPORT/Question/CR%20Measurement_Nazar%20Bagus%20H.%201.png","id":"01D6UVHSPDSPNLJXB7TFFYOR2DN64SLIJL","type":null,"size":15976,"referenceId":"01D6UVHSOX5DG5RX522VGYFCV365U3UBU3","driveId":"b!7qg8FsnQY0iiT36_x6Novv_3J9v4MtxPsytkCbb-ZPz3ScQFcxKeSqI2jw7AAtnZ","status":1,"uploadSessionUrl":null}]</t>
  </si>
  <si>
    <t>Jxgp1GLup0y8q7yWcY6uNsgACnLi</t>
  </si>
  <si>
    <t>Missing phenomenon, Possibility Assembly Problem</t>
  </si>
  <si>
    <t>Change Carriage Unit become OK</t>
  </si>
  <si>
    <t>AR250527081437</t>
  </si>
  <si>
    <t>RP250528082324</t>
  </si>
  <si>
    <t>JIG 08</t>
  </si>
  <si>
    <t>During Initial Ink Charge, Found DMAH on Printing Nozzle Check Result</t>
  </si>
  <si>
    <t>[{"name":"Picture1_Muhammad Dzaki Taufi 1.png","link":"https://epsongroup-my.sharepoint.com/personal/brian_ramdhani_epson_co_id/Documents/Apps/Microsoft%20Forms/TAKATSU%20ANALYZE%20REPORT/Question/Picture1_Muhammad%20Dzaki%20Taufi%201.png","id":"01D6UVHSLFEWACWYIZRZEIIETRAPDBOS7O","type":null,"size":2701631,"referenceId":"01D6UVHSOX5DG5RX522VGYFCV365U3UBU3","driveId":"b!7qg8FsnQY0iiT36_x6Novv_3J9v4MtxPsytkCbb-ZPz3ScQFcxKeSqI2jw7AAtnZ","status":1,"uploadSessionUrl":null}]</t>
  </si>
  <si>
    <t>soW9hIQnsk2NvOzbc5GnLMgAMcyl</t>
  </si>
  <si>
    <t>False Reject. After Ink Discharge Process, Product become OK</t>
  </si>
  <si>
    <t>Re-Initial Charge in Line OK</t>
  </si>
  <si>
    <t>AR250528085518</t>
  </si>
  <si>
    <t>RP250528023034</t>
  </si>
  <si>
    <t>Button Pa</t>
  </si>
  <si>
    <t>Button Panel NG</t>
  </si>
  <si>
    <t xml:space="preserve">Panel Ng fuction (unflexible) tombol Up </t>
  </si>
  <si>
    <t xml:space="preserve"> During External Inspection</t>
  </si>
  <si>
    <t>Found NG UP Button, During Inspection Panel Button Check at External Stage</t>
  </si>
  <si>
    <t>[{"name":"NG UP BUTTON PANEL_Muhammad Dzaki Taufi.png","link":"https://epsongroup-my.sharepoint.com/personal/brian_ramdhani_epson_co_id/Documents/Apps/Microsoft%20Forms/TAKATSU%20ANALYZE%20REPORT/Question/NG%20UP%20BUTTON%20PANEL_Muhammad%20Dzaki%20Taufi.png","id":"01D6UVHSIWNKRZ6SPGSVCKQPJSNPSD5W3C","type":null,"size":3412951,"referenceId":"01D6UVHSOX5DG5RX522VGYFCV365U3UBU3","driveId":"b!7qg8FsnQY0iiT36_x6Novv_3J9v4MtxPsytkCbb-ZPz3ScQFcxKeSqI2jw7AAtnZ","status":1,"uploadSessionUrl":null}]</t>
  </si>
  <si>
    <t>bVPyGYkqhkCcOtc82qJE8MgAFqvp</t>
  </si>
  <si>
    <t xml:space="preserve">False Reject. </t>
  </si>
  <si>
    <t>Re-Inspection Panel Button Check process Become OK. Make sure By Re-try process inspection until 10x, is still OK</t>
  </si>
  <si>
    <t>AR250528110047</t>
  </si>
  <si>
    <t>RP250528020841</t>
  </si>
  <si>
    <t>Appear Paper Jam After Cutting Paper on Stage Printing</t>
  </si>
  <si>
    <t>[{"name":"Paper Jam Auto Cutter Lever Sensor NG_Nazar Bagus H..jpg","link":"https://epsongroup-my.sharepoint.com/personal/brian_ramdhani_epson_co_id/Documents/Apps/Microsoft%20Forms/TAKATSU%20ANALYZE%20REPORT/Question/Paper%20Jam%20Auto%20Cutter%20Lever%20Sensor%20NG_Nazar%20Bagus%20H..jpg","id":"01D6UVHSKP54U37MNRBJDYMR5ZAHROKYXV","type":null,"size":187155,"referenceId":"01D6UVHSOX5DG5RX522VGYFCV365U3UBU3","driveId":"b!7qg8FsnQY0iiT36_x6Novv_3J9v4MtxPsytkCbb-ZPz3ScQFcxKeSqI2jw7AAtnZ","status":1,"uploadSessionUrl":null}]</t>
  </si>
  <si>
    <t>D3AgwHS5GkO-aCPGMQBkEcgAIGNa</t>
  </si>
  <si>
    <t>Auto Cutter Abnormal</t>
  </si>
  <si>
    <t>Lever Sensor No Function</t>
  </si>
  <si>
    <t>Possibility Pin Harness Lever Sensor Pulled Off During Insertion into Panel Unit</t>
  </si>
  <si>
    <t>1. Paper Jam
2. Product Communication Error
3. Auto Cutter Abnormal
4. Lever Sensor No Function
5. Possibility Pin Harness Lever Sensor Pulled Off During Insertion into Panel Unit</t>
  </si>
  <si>
    <t>Lever Sensor on Auto Cutter not Function due to Pin on Sensor Pulled off.</t>
  </si>
  <si>
    <t>Change Sesnor OK</t>
  </si>
  <si>
    <t>AR250530112609</t>
  </si>
  <si>
    <t>RP250611103934</t>
  </si>
  <si>
    <t>Slack Sensor NG</t>
  </si>
  <si>
    <t>Slack sensor ng</t>
  </si>
  <si>
    <t>Saat proses slack menu calibration</t>
  </si>
  <si>
    <t>Found Slack Sensor NG During Slack Sensor Inspection</t>
  </si>
  <si>
    <t>[{"name":"False Reject_Nazar Bagus H. 26.PNG","link":"https://epsongroup-my.sharepoint.com/personal/brian_ramdhani_epson_co_id/Documents/Apps/Microsoft%20Forms/TAKATSU%20ANALYZE%20REPORT/Question/False%20Reject_Nazar%20Bagus%20H.%2026.PNG","id":"01D6UVHSJFZG62XJGWLNBK5YD4V52Y4KNX","type":null,"size":1313,"referenceId":"01D6UVHSOX5DG5RX522VGYFCV365U3UBU3","driveId":"b!7qg8FsnQY0iiT36_x6Novv_3J9v4MtxPsytkCbb-ZPz3ScQFcxKeSqI2jw7AAtnZ","status":1,"uploadSessionUrl":null}]</t>
  </si>
  <si>
    <t>F1a-15Lqg0O7mDzc8x-XfsgALV1D</t>
  </si>
  <si>
    <t>After Swap Analyze, NG Dissapear</t>
  </si>
  <si>
    <t>Check NG Slack Sensor 10x OK on Other Mechanism</t>
  </si>
  <si>
    <t>AR250530050032</t>
  </si>
  <si>
    <t>RP250530054407</t>
  </si>
  <si>
    <t>Heard Small Noise During Inspection Mode</t>
  </si>
  <si>
    <t>[{"name":"1748600812382_Muhammad Dzaki Taufi.jpg","link":"https://epsongroup-my.sharepoint.com/personal/brian_ramdhani_epson_co_id/Documents/Apps/Microsoft%20Forms/TAKATSU%20ANALYZE%20REPORT/Question/1748600812382_Muhammad%20Dzaki%20Taufi.jpg","id":"01D6UVHSM64TQO5KB4I5FZUVLQAO3Q6KFM","type":null,"size":4147495,"referenceId":"01D6UVHSOX5DG5RX522VGYFCV365U3UBU3","driveId":"b!7qg8FsnQY0iiT36_x6Novv_3J9v4MtxPsytkCbb-ZPz3ScQFcxKeSqI2jw7AAtnZ","status":1,"uploadSessionUrl":null}]</t>
  </si>
  <si>
    <t>Ii1QfwqvQEuYgkawKdiweMgAKej_</t>
  </si>
  <si>
    <t>Not NG, Noise not identified as Abnormality</t>
  </si>
  <si>
    <t>Not NG (No need Temporary Action)</t>
  </si>
  <si>
    <t>AR250602091048</t>
  </si>
  <si>
    <t>RP250604083902</t>
  </si>
  <si>
    <t>TKSFE-006</t>
  </si>
  <si>
    <t>Fatal Error 4417</t>
  </si>
  <si>
    <t>During Initial Power On, Carriage Move then appear Fatal Error 4417</t>
  </si>
  <si>
    <t>[{"name":"4417_Nazar Bagus H..png","link":"https://epsongroup-my.sharepoint.com/personal/brian_ramdhani_epson_co_id/Documents/Apps/Microsoft%20Forms/TAKATSU%20ANALYZE%20REPORT/Question/4417_Nazar%20Bagus%20H..png","id":"01D6UVHSOKNYFZ6APYHNHYZSR52NGAW7ZF","type":null,"size":250012,"referenceId":"01D6UVHSOX5DG5RX522VGYFCV365U3UBU3","driveId":"b!7qg8FsnQY0iiT36_x6Novv_3J9v4MtxPsytkCbb-ZPz3ScQFcxKeSqI2jw7AAtnZ","status":1,"uploadSessionUrl":null}]</t>
  </si>
  <si>
    <t>s_fqaZSrvkWPJ0KTdmqUAcgAIZEm</t>
  </si>
  <si>
    <t>Printer Error 004417</t>
  </si>
  <si>
    <t>PW Shutter Opening and Closing Error</t>
  </si>
  <si>
    <t>PW Shutter Open and Close not Detect</t>
  </si>
  <si>
    <t xml:space="preserve">Communication Error </t>
  </si>
  <si>
    <t>FFC PW not Connected (Assembly Problem)</t>
  </si>
  <si>
    <t>1. Printer Error 004417
2. PW Shutter Opening and Closing Error
3. PW Shutter Open and Close not Detect
4. Communication Error 
5. FFC PW not Connected (Assembly Problem)</t>
  </si>
  <si>
    <t>FFC PW not Connected</t>
  </si>
  <si>
    <t>Re-Train Operator to Ensure FFC PW in Carriage is Full Insert</t>
  </si>
  <si>
    <t>AR250603094149</t>
  </si>
  <si>
    <t>RP250611104851</t>
  </si>
  <si>
    <t xml:space="preserve">Saat proses no 2 ( pg adjustment) </t>
  </si>
  <si>
    <t>During Initial Power On, UI Stuck on Loading Screen</t>
  </si>
  <si>
    <t>[{"name":"CSIC NG_Nazar Bagus H. 1.png","link":"https://epsongroup-my.sharepoint.com/personal/brian_ramdhani_epson_co_id/Documents/Apps/Microsoft%20Forms/TAKATSU%20ANALYZE%20REPORT/Question/CSIC%20NG_Nazar%20Bagus%20H.%201.png","id":"01D6UVHSPU3YJJUFI4OVC3XCL7576V3GNH","type":null,"size":592115,"referenceId":"01D6UVHSOX5DG5RX522VGYFCV365U3UBU3","driveId":"b!7qg8FsnQY0iiT36_x6Novv_3J9v4MtxPsytkCbb-ZPz3ScQFcxKeSqI2jw7AAtnZ","status":1,"uploadSessionUrl":null}]</t>
  </si>
  <si>
    <t>Zvzh0i2ZD0yA9s5OQ3Snf8gAMyEw</t>
  </si>
  <si>
    <t>PIN CSIC on IH NG</t>
  </si>
  <si>
    <t>Change IH Unit in Line OK</t>
  </si>
  <si>
    <t>AR250603025026</t>
  </si>
  <si>
    <t>RP250604082536</t>
  </si>
  <si>
    <t>During printing process, Find NG UP in result Nozzle Check</t>
  </si>
  <si>
    <t>[{"name":"1748942627317_Muhammad Dzaki Taufi.jpg","link":"https://epsongroup-my.sharepoint.com/personal/brian_ramdhani_epson_co_id/Documents/Apps/Microsoft%20Forms/TAKATSU%20ANALYZE%20REPORT/Question/1748942627317_Muhammad%20Dzaki%20Taufi.jpg","id":"01D6UVHSM7YAX5TJRVABAZBHCFHQPMC4U7","type":null,"size":4155045,"referenceId":"01D6UVHSOX5DG5RX522VGYFCV365U3UBU3","driveId":"b!7qg8FsnQY0iiT36_x6Novv_3J9v4MtxPsytkCbb-ZPz3ScQFcxKeSqI2jw7AAtnZ","status":1,"uploadSessionUrl":null}]</t>
  </si>
  <si>
    <t>LxAUtYlyx0CazjkJ3P58AMgAOvB3</t>
  </si>
  <si>
    <t>Still Analyze by Collecting NVT Data (PH NG still keep in MA)</t>
  </si>
  <si>
    <t>Change new PH in Line. Cleaning Joint PH Equipment and 5S Printing Area</t>
  </si>
  <si>
    <t>AR250603030217</t>
  </si>
  <si>
    <t>RP250604084424</t>
  </si>
  <si>
    <t xml:space="preserve">Abnormal panel louding (csic ng) </t>
  </si>
  <si>
    <t>Stg discharge</t>
  </si>
  <si>
    <t>When Initial Power on, Found Panel stuck on Loading UI</t>
  </si>
  <si>
    <t>[{"name":"CSIC NG_Nazar Bagus H..png","link":"https://epsongroup-my.sharepoint.com/personal/brian_ramdhani_epson_co_id/Documents/Apps/Microsoft%20Forms/TAKATSU%20ANALYZE%20REPORT/Question/CSIC%20NG_Nazar%20Bagus%20H..png","id":"01D6UVHSNIJF74SFDH5JF3LJIW6UQITCUO","type":null,"size":592115,"referenceId":"01D6UVHSOX5DG5RX522VGYFCV365U3UBU3","driveId":"b!7qg8FsnQY0iiT36_x6Novv_3J9v4MtxPsytkCbb-ZPz3ScQFcxKeSqI2jw7AAtnZ","status":1,"uploadSessionUrl":null}]</t>
  </si>
  <si>
    <t>tE0ryXoWZkebXN1jjgDQD8gAFBwT</t>
  </si>
  <si>
    <t>Panel Display Stuck on Loading UI</t>
  </si>
  <si>
    <t>Communication Error</t>
  </si>
  <si>
    <t xml:space="preserve"> CSIC Check when Initial Power On NG</t>
  </si>
  <si>
    <t xml:space="preserve">PIN CSIC Broken </t>
  </si>
  <si>
    <t>Possibillity Missing Checkpoint at Sub Assy 2nd Floor</t>
  </si>
  <si>
    <t>1. Panel Display Stuck on Loading UI
2. Communication Error
3.  CSIC Check when Initial Power On NG
4. PIN CSIC Broken 
5. Possibillity Missing Checkpoint at Sub Assy 2nd Floor</t>
  </si>
  <si>
    <t>Rework Stock WIP and Propose to deep Analyze by IH Engineering</t>
  </si>
  <si>
    <t>AR250609113730</t>
  </si>
  <si>
    <t>RP250609073658</t>
  </si>
  <si>
    <t>During Initial Paper Loading at Printing Stage</t>
  </si>
  <si>
    <t xml:space="preserve">Saat louding </t>
  </si>
  <si>
    <t>During initial loading paper at Printing Stage, found Paper Jam [After paper touch Jam Detector Platen Unit]</t>
  </si>
  <si>
    <t>[{"name":"Paper Jam_Zainul Muttaqin.png","link":"https://epsongroup-my.sharepoint.com/personal/brian_ramdhani_epson_co_id/Documents/Apps/Microsoft%20Forms/TAKATSU%20ANALYZE%20REPORT/Question/Paper%20Jam_Zainul%20Muttaqin.png","id":"01D6UVHSKKJNRF3TELRJAKJ5Y57UFYRYHL","type":null,"size":413012,"referenceId":"01D6UVHSOX5DG5RX522VGYFCV365U3UBU3","driveId":"b!7qg8FsnQY0iiT36_x6Novv_3J9v4MtxPsytkCbb-ZPz3ScQFcxKeSqI2jw7AAtnZ","status":1,"uploadSessionUrl":null}]</t>
  </si>
  <si>
    <t>3CmjYEB6N0i5PEOT8CjGmMgAApJV</t>
  </si>
  <si>
    <t>Palaten Unit NG</t>
  </si>
  <si>
    <t>Rubber Roller Platen Unit Unposition [Rubber roller rotation obstructed]</t>
  </si>
  <si>
    <t xml:space="preserve">1. Paper Jam
2. Palaten Unit NG
3. Rubber Roller Platen Unit Unposition [Rubber roller rotation obstructed]
4. 
5. </t>
  </si>
  <si>
    <t>Rubber Roller Platen Unit Unposition by Vendor</t>
  </si>
  <si>
    <t>Emphasizing checkpoints such as mention on SWP and visual check before assembly rubber roller</t>
  </si>
  <si>
    <t>AR250609044636</t>
  </si>
  <si>
    <t>RP250609072523</t>
  </si>
  <si>
    <t>Paper remove</t>
  </si>
  <si>
    <t>During Initial Setting at Intemal Stage</t>
  </si>
  <si>
    <t>Saat proses airleak</t>
  </si>
  <si>
    <t>During Initial Setting at Internal Stage, panel shown Wait Paper Remove</t>
  </si>
  <si>
    <t>[{"name":"Wait Paper Remove_Zainul Muttaqin.jpg","link":"https://epsongroup-my.sharepoint.com/personal/brian_ramdhani_epson_co_id/Documents/Apps/Microsoft%20Forms/TAKATSU%20ANALYZE%20REPORT/Question/Wait%20Paper%20Remove_Zainul%20Muttaqin.jpg","id":"01D6UVHSI5S3SSZVJMBZBKH7V3RYLFMD4X","type":null,"size":37868,"referenceId":"01D6UVHSOX5DG5RX522VGYFCV365U3UBU3","driveId":"b!7qg8FsnQY0iiT36_x6Novv_3J9v4MtxPsytkCbb-ZPz3ScQFcxKeSqI2jw7AAtnZ","status":1,"uploadSessionUrl":null}]</t>
  </si>
  <si>
    <t>0LYgXHTkXki33Ey9y-dx-cgAFTvp</t>
  </si>
  <si>
    <t>PGU Unit NG</t>
  </si>
  <si>
    <t>Harness detector PGU Unit was broken [4M Change Manpower stage PGU Unit]</t>
  </si>
  <si>
    <t xml:space="preserve">1. Wait Paper Remove
2. PGU Unit NG
3. Harness detector PGU Unit was broken [4M Change Manpower stage PGU Unit]
4. 
5. </t>
  </si>
  <si>
    <t>Harness Detector was broken possibility occured due to mistake assembly by OPR [4M Change Manpower SA PGU Unit]</t>
  </si>
  <si>
    <t>Reminding and training OPR stage PGU Unit that must follow checkpoint such as on SWP</t>
  </si>
  <si>
    <t>AR250610090639</t>
  </si>
  <si>
    <t>RP250610040908</t>
  </si>
  <si>
    <t>During printing process, Find NG DO in Printing Result</t>
  </si>
  <si>
    <t>[{"name":"False Reject_M. Dzaki_Muhammad Dzaki Taufi.png","link":"https://epsongroup-my.sharepoint.com/personal/brian_ramdhani_epson_co_id/Documents/Apps/Microsoft%20Forms/TAKATSU%20ANALYZE%20REPORT/Question/False%20Reject_M.%20Dzaki_Muhammad%20Dzaki%20Taufi.png","id":"01D6UVHSNNM4RPUQ4CKRBYPMIQQYDPZA7K","type":null,"size":1313,"referenceId":"01D6UVHSOX5DG5RX522VGYFCV365U3UBU3","driveId":"b!7qg8FsnQY0iiT36_x6Novv_3J9v4MtxPsytkCbb-ZPz3ScQFcxKeSqI2jw7AAtnZ","status":1,"uploadSessionUrl":null}]</t>
  </si>
  <si>
    <t>TF17vbVRpUyUjhTQ_Bh4vcgALpj2</t>
  </si>
  <si>
    <t>False Reject. After Wiping PH, Product become OK</t>
  </si>
  <si>
    <t>AR250610065609</t>
  </si>
  <si>
    <t>RP250611072215</t>
  </si>
  <si>
    <t>TKSAL-019</t>
  </si>
  <si>
    <t>During Printing inspection</t>
  </si>
  <si>
    <t>Not Heard NG During Confirmation (False Reject)</t>
  </si>
  <si>
    <t>[{"name":"False Reject_Nazar Bagus H. 25.PNG","link":"https://epsongroup-my.sharepoint.com/personal/brian_ramdhani_epson_co_id/Documents/Apps/Microsoft%20Forms/TAKATSU%20ANALYZE%20REPORT/Question/False%20Reject_Nazar%20Bagus%20H.%2025.PNG","id":"01D6UVHSJHMUWXOIPX3FE3YSHKGR5EW7DP","type":null,"size":1313,"referenceId":"01D6UVHSOX5DG5RX522VGYFCV365U3UBU3","driveId":"b!7qg8FsnQY0iiT36_x6Novv_3J9v4MtxPsytkCbb-ZPz3ScQFcxKeSqI2jw7AAtnZ","status":1,"uploadSessionUrl":null}]</t>
  </si>
  <si>
    <t>ElhikuRrTk-KVIMiZnX-S8gABT-y</t>
  </si>
  <si>
    <t>AR250611112128</t>
  </si>
  <si>
    <t>RP250612072442</t>
  </si>
  <si>
    <t>Saat proses kalibrasi label sensor</t>
  </si>
  <si>
    <t>During Label Sensor Calibration Check, heard High Pitch noise on Peeler Unit, then appear Paper Jam</t>
  </si>
  <si>
    <t>[{"name":"FFC Peeler Peeled Off_Nazar Bagus H..jpg","link":"https://epsongroup-my.sharepoint.com/personal/brian_ramdhani_epson_co_id/Documents/Apps/Microsoft%20Forms/TAKATSU%20ANALYZE%20REPORT/Question/FFC%20Peeler%20Peeled%20Off_Nazar%20Bagus%20H..jpg","id":"01D6UVHSLGTKWOEPNWDNCYAHX6NLTGC3Z3","type":null,"size":70630,"referenceId":"01D6UVHSOX5DG5RX522VGYFCV365U3UBU3","driveId":"b!7qg8FsnQY0iiT36_x6Novv_3J9v4MtxPsytkCbb-ZPz3ScQFcxKeSqI2jw7AAtnZ","status":1,"uploadSessionUrl":null}]</t>
  </si>
  <si>
    <t>JUjH6L_ii0q-wPOt4lXCOcgAO0So</t>
  </si>
  <si>
    <t>Rotation of Paper feed and Peeler feed Unmatch</t>
  </si>
  <si>
    <t>Possibility Operator not Connect FFC Peeler to Sub-B Correctly</t>
  </si>
  <si>
    <t>Possibility Assembly Process</t>
  </si>
  <si>
    <t>1. Paper Jam
2. Rotation of Paper feed and Peeler feed Unmatch
3. FFC Peeler Peeled Off
4. Possibility Operator not Connect FFC Peeler to Sub-B Correctly
5. Possibility Assembly Process</t>
  </si>
  <si>
    <t>Change FFC Peeler OK</t>
  </si>
  <si>
    <t>AR250611032803</t>
  </si>
  <si>
    <t>RP250612074622</t>
  </si>
  <si>
    <t>During Loading Paper using Peeler Unit, Paper Stuck on Peeler Unit</t>
  </si>
  <si>
    <t>[{"name":"Paper Jam Peeler_Nazar Bagus H..png","link":"https://epsongroup-my.sharepoint.com/personal/brian_ramdhani_epson_co_id/Documents/Apps/Microsoft%20Forms/TAKATSU%20ANALYZE%20REPORT/Question/Paper%20Jam%20Peeler_Nazar%20Bagus%20H..png","id":"01D6UVHSMICBXRMVNGJNDZ2N4D75OU4H55","type":null,"size":1266223,"referenceId":"01D6UVHSOX5DG5RX522VGYFCV365U3UBU3","driveId":"b!7qg8FsnQY0iiT36_x6Novv_3J9v4MtxPsytkCbb-ZPz3ScQFcxKeSqI2jw7AAtnZ","status":1,"uploadSessionUrl":null}]</t>
  </si>
  <si>
    <t>40vfZzQOJ0OlW9wFw6_0_cgAEZHp</t>
  </si>
  <si>
    <t>Paper Loading Stuck on Peeler Unit</t>
  </si>
  <si>
    <t>Unbalance Pressure on Peeler Unit</t>
  </si>
  <si>
    <t>Holder Peeler Press Unit not Properly Screwed into frame</t>
  </si>
  <si>
    <t>4M Man Power (Assembled by Wije)</t>
  </si>
  <si>
    <t>1. Paper Loading Stuck on Peeler Unit
2. Unbalance Pressure on Peeler Unit
3. Holder Peeler Press Unit not Properly Screwed into frame
4. Assembly Problem
5. 4M Man Power (Assembled by Wije)</t>
  </si>
  <si>
    <t>Holder Peeler Press not Properly Crewed into Frame Holder Peeler Press</t>
  </si>
  <si>
    <t>Change Holder Peeler Press</t>
  </si>
  <si>
    <t>AR250613111239</t>
  </si>
  <si>
    <t>RP250617112432</t>
  </si>
  <si>
    <t>TKSFE-003</t>
  </si>
  <si>
    <t>Fatal error 006725</t>
  </si>
  <si>
    <t>When Initial Power on, Appear Fatal Error 6725 on LCD Screen</t>
  </si>
  <si>
    <t>[{"name":"FE 6725_Nazar Bagus H..jpg","link":"https://epsongroup-my.sharepoint.com/personal/brian_ramdhani_epson_co_id/Documents/Apps/Microsoft%20Forms/TAKATSU%20ANALYZE%20REPORT/Question/FE%206725_Nazar%20Bagus%20H..jpg","id":"01D6UVHSMUNVS7QOVT6RG234THHN3HKY7D","type":null,"size":14203,"referenceId":"01D6UVHSOX5DG5RX522VGYFCV365U3UBU3","driveId":"b!7qg8FsnQY0iiT36_x6Novv_3J9v4MtxPsytkCbb-ZPz3ScQFcxKeSqI2jw7AAtnZ","status":1,"uploadSessionUrl":null}]</t>
  </si>
  <si>
    <t>v4DlOBNX_kCujDKFMiDDUsgAOVMB</t>
  </si>
  <si>
    <t>Print Head NG</t>
  </si>
  <si>
    <t>Change Print Head then Power On Off 10x OK</t>
  </si>
  <si>
    <t>AR250616102445</t>
  </si>
  <si>
    <t>RP250619073629</t>
  </si>
  <si>
    <t xml:space="preserve">During Check Result Printing </t>
  </si>
  <si>
    <t>Jig 04</t>
  </si>
  <si>
    <t>[{"name":"1750040762226_Muhammad Dzaki Taufi.jpg","link":"https://epsongroup-my.sharepoint.com/personal/brian_ramdhani_epson_co_id/Documents/Apps/Microsoft%20Forms/TAKATSU%20ANALYZE%20REPORT/Question/1750040762226_Muhammad%20Dzaki%20Taufi.jpg","id":"01D6UVHSKGUFA6AOZDDJF2MCMG43F3VSY7","type":null,"size":4671223,"referenceId":"01D6UVHSOX5DG5RX522VGYFCV365U3UBU3","driveId":"b!7qg8FsnQY0iiT36_x6Novv_3J9v4MtxPsytkCbb-ZPz3ScQFcxKeSqI2jw7AAtnZ","status":1,"uploadSessionUrl":null}]</t>
  </si>
  <si>
    <t>Woz1Je4h70KFLTtAh8Aof8gACH60</t>
  </si>
  <si>
    <t>Still Analyze by Collecting NVT Data</t>
  </si>
  <si>
    <t>Change PH</t>
  </si>
  <si>
    <t>AR250616111434</t>
  </si>
  <si>
    <t>RP250617112618</t>
  </si>
  <si>
    <t>LCD blank</t>
  </si>
  <si>
    <t>Power on</t>
  </si>
  <si>
    <t>[{"name":"False Reject_Nazar Bagus H. 27.PNG","link":"https://epsongroup-my.sharepoint.com/personal/brian_ramdhani_epson_co_id/Documents/Apps/Microsoft%20Forms/TAKATSU%20ANALYZE%20REPORT/Question/False%20Reject_Nazar%20Bagus%20H.%2027.PNG","id":"01D6UVHSKLHRQVU4WWLBEYLMFQK6INL5UO","type":null,"size":1313,"referenceId":"01D6UVHSOX5DG5RX522VGYFCV365U3UBU3","driveId":"b!7qg8FsnQY0iiT36_x6Novv_3J9v4MtxPsytkCbb-ZPz3ScQFcxKeSqI2jw7AAtnZ","status":1,"uploadSessionUrl":null}]</t>
  </si>
  <si>
    <t>mx6ARDHS-0uiKniggLT9scgAM2sH</t>
  </si>
  <si>
    <t>AR250616020217</t>
  </si>
  <si>
    <t>RP250619073234</t>
  </si>
  <si>
    <t>During printing process, Find NG Unstable in result Nozzle Check</t>
  </si>
  <si>
    <t>[{"name":"False Reject_M. Dzaki_Muhammad Dzaki Taufi 1.png","link":"https://epsongroup-my.sharepoint.com/personal/brian_ramdhani_epson_co_id/Documents/Apps/Microsoft%20Forms/TAKATSU%20ANALYZE%20REPORT/Question/False%20Reject_M.%20Dzaki_Muhammad%20Dzaki%20Taufi%201.png","id":"01D6UVHSKL5FS5P5KUURBLMNNHPPE6JNFT","type":null,"size":1313,"referenceId":"01D6UVHSOX5DG5RX522VGYFCV365U3UBU3","driveId":"b!7qg8FsnQY0iiT36_x6Novv_3J9v4MtxPsytkCbb-ZPz3ScQFcxKeSqI2jw7AAtnZ","status":1,"uploadSessionUrl":null}]</t>
  </si>
  <si>
    <t>QlRZQl3C3U2lD_gYBeE0GcgAGIt3</t>
  </si>
  <si>
    <t>After Wiping PH. Re-initial Ink Discharge Process, Product become OK</t>
  </si>
  <si>
    <t>AR250617104028</t>
  </si>
  <si>
    <t>RP250618071757</t>
  </si>
  <si>
    <t>Appear Fatal Error 5853 During Printing Process</t>
  </si>
  <si>
    <t>[{"name":"5853_Nazar Bagus H..png","link":"https://epsongroup-my.sharepoint.com/personal/brian_ramdhani_epson_co_id/Documents/Apps/Microsoft%20Forms/TAKATSU%20ANALYZE%20REPORT/Question/5853_Nazar%20Bagus%20H..png","id":"01D6UVHSIZHNGBFFNYSBHILRUKD5ZYK5YQ","type":null,"size":245273,"referenceId":"01D6UVHSOX5DG5RX522VGYFCV365U3UBU3","driveId":"b!7qg8FsnQY0iiT36_x6Novv_3J9v4MtxPsytkCbb-ZPz3ScQFcxKeSqI2jw7AAtnZ","status":1,"uploadSessionUrl":null}]</t>
  </si>
  <si>
    <t>Dk_UWPpTW02ndnnYSC44XMgADp_0</t>
  </si>
  <si>
    <t>Jig Dummy Ink Cartridge NG</t>
  </si>
  <si>
    <t>Move to Another JIG Printing OK</t>
  </si>
  <si>
    <t>AR250617110713</t>
  </si>
  <si>
    <t>RP250623042826</t>
  </si>
  <si>
    <t>During Internal Inspectioin</t>
  </si>
  <si>
    <t>Saat proses mnu measurment</t>
  </si>
  <si>
    <t>During MNU Measurement Check, Heard Little Noise around MNU</t>
  </si>
  <si>
    <t>[{"name":"False Reject_Nazar Bagus H. 31.PNG","link":"https://epsongroup-my.sharepoint.com/personal/brian_ramdhani_epson_co_id/Documents/Apps/Microsoft%20Forms/TAKATSU%20ANALYZE%20REPORT/Question/False%20Reject_Nazar%20Bagus%20H.%2031.PNG","id":"01D6UVHSI2BHNFX4WRJRCZHU4SP77HQSAJ","type":null,"size":1313,"referenceId":"01D6UVHSOX5DG5RX522VGYFCV365U3UBU3","driveId":"b!7qg8FsnQY0iiT36_x6Novv_3J9v4MtxPsytkCbb-ZPz3ScQFcxKeSqI2jw7AAtnZ","status":1,"uploadSessionUrl":null}]</t>
  </si>
  <si>
    <t>CW1hv_6q0kum_KRy1qLl-sgAI1mP</t>
  </si>
  <si>
    <t>Reconfirm in Line 10x OK</t>
  </si>
  <si>
    <t>AR250617024457</t>
  </si>
  <si>
    <t>RP250630074113</t>
  </si>
  <si>
    <t>Applicato</t>
  </si>
  <si>
    <t>Applicator Port NG</t>
  </si>
  <si>
    <t>Applicator port check ng</t>
  </si>
  <si>
    <t xml:space="preserve">Saat proses applicator </t>
  </si>
  <si>
    <t>During Applicator Check at Stage Internal, found Result NG</t>
  </si>
  <si>
    <t>[{"name":"False Reject_Nazar Bagus H. 32.PNG","link":"https://epsongroup-my.sharepoint.com/personal/brian_ramdhani_epson_co_id/Documents/Apps/Microsoft%20Forms/TAKATSU%20ANALYZE%20REPORT/Question/False%20Reject_Nazar%20Bagus%20H.%2032.PNG","id":"01D6UVHSLGKIPAY27D2VFYF3KAN6XQJ2UN","type":null,"size":1313,"referenceId":"01D6UVHSOX5DG5RX522VGYFCV365U3UBU3","driveId":"b!7qg8FsnQY0iiT36_x6Novv_3J9v4MtxPsytkCbb-ZPz3ScQFcxKeSqI2jw7AAtnZ","status":1,"uploadSessionUrl":null}]</t>
  </si>
  <si>
    <t>yjXko1DgUEikDnMCwxIfVcgAN8jK</t>
  </si>
  <si>
    <t>After Swap Board. Missing Phenomenon</t>
  </si>
  <si>
    <t>AR250617052433</t>
  </si>
  <si>
    <t>RP250618072326</t>
  </si>
  <si>
    <t>Slack Sensor Calibration NG</t>
  </si>
  <si>
    <t>Slack sensor calibration</t>
  </si>
  <si>
    <t>Saat proses slack sensor calibration</t>
  </si>
  <si>
    <t>During Slack Sensor Calibration Check Result NG</t>
  </si>
  <si>
    <t>[{"name":"FFC Peeler Peeled off (Paper Jam)_Nazar Bagus H..jpg","link":"https://epsongroup-my.sharepoint.com/personal/brian_ramdhani_epson_co_id/Documents/Apps/Microsoft%20Forms/TAKATSU%20ANALYZE%20REPORT/Question/FFC%20Peeler%20Peeled%20off%20(Paper%20Jam)_Nazar%20Bagus%20H..jpg","id":"01D6UVHSIKXDLQXIYWORAZW5DC5L7GJPP4","type":null,"size":58544,"referenceId":"01D6UVHSOX5DG5RX522VGYFCV365U3UBU3","driveId":"b!7qg8FsnQY0iiT36_x6Novv_3J9v4MtxPsytkCbb-ZPz3ScQFcxKeSqI2jw7AAtnZ","status":1,"uploadSessionUrl":null}]</t>
  </si>
  <si>
    <t>H2Pkv84nh0OyUdoYaFhWksgADZEm</t>
  </si>
  <si>
    <t>FFC Sub Pin Broken (Peeled Off by Assembly Problem)</t>
  </si>
  <si>
    <t>After Change FFC Sub Product Become OK</t>
  </si>
  <si>
    <t>AR250618075705</t>
  </si>
  <si>
    <t>RP250619074517</t>
  </si>
  <si>
    <t>Saat print cek</t>
  </si>
  <si>
    <t>Heard Small Noise, During printing process</t>
  </si>
  <si>
    <t>[{"name":"False Reject_M. Dzaki_Muhammad Dzaki Taufi 2.png","link":"https://epsongroup-my.sharepoint.com/personal/brian_ramdhani_epson_co_id/Documents/Apps/Microsoft%20Forms/TAKATSU%20ANALYZE%20REPORT/Question/False%20Reject_M.%20Dzaki_Muhammad%20Dzaki%20Taufi%202.png","id":"01D6UVHSKW2WRSM5ZHGJBKTM6U4EYYZZA2","type":null,"size":1313,"referenceId":"01D6UVHSOX5DG5RX522VGYFCV365U3UBU3","driveId":"b!7qg8FsnQY0iiT36_x6Novv_3J9v4MtxPsytkCbb-ZPz3ScQFcxKeSqI2jw7AAtnZ","status":1,"uploadSessionUrl":null}]</t>
  </si>
  <si>
    <t>FrvUZtv7JEG8CQChWpe468gACHzB</t>
  </si>
  <si>
    <t>NOT NG</t>
  </si>
  <si>
    <t>AR250618115920</t>
  </si>
  <si>
    <t>RP250618070939</t>
  </si>
  <si>
    <t>Saat proses label sensor kalibrasi</t>
  </si>
  <si>
    <t>During Initial Paper Load. Product Cannot Pull Paper then Appear Paper Jam</t>
  </si>
  <si>
    <t>[{"name":"Paper Jam FFC Not COnnect_Nazar Bagus H..jpg","link":"https://epsongroup-my.sharepoint.com/personal/brian_ramdhani_epson_co_id/Documents/Apps/Microsoft%20Forms/TAKATSU%20ANALYZE%20REPORT/Question/Paper%20Jam%20FFC%20Not%20COnnect_Nazar%20Bagus%20H..jpg","id":"01D6UVHSJBY3WVZFX73BGLNZYYV5SYW3H2","type":null,"size":65816,"referenceId":"01D6UVHSOX5DG5RX522VGYFCV365U3UBU3","driveId":"b!7qg8FsnQY0iiT36_x6Novv_3J9v4MtxPsytkCbb-ZPz3ScQFcxKeSqI2jw7AAtnZ","status":1,"uploadSessionUrl":null}]</t>
  </si>
  <si>
    <t>TgmqhTXgrUyYtydmktE7icgADUXu</t>
  </si>
  <si>
    <t>FFC Roll Paper Pulled Off During Repair Process</t>
  </si>
  <si>
    <t>Reconnect FFC Product Become OK</t>
  </si>
  <si>
    <t>AR250618014337</t>
  </si>
  <si>
    <t>RP250618071301</t>
  </si>
  <si>
    <t>Ng printer initial</t>
  </si>
  <si>
    <t xml:space="preserve">Saat proses initial setting </t>
  </si>
  <si>
    <t>During Initial Setting, Appear Wait Paper Remove (Paper End Sensor NG)</t>
  </si>
  <si>
    <t>[{"name":"False Reject_Nazar Bagus H. 28.PNG","link":"https://epsongroup-my.sharepoint.com/personal/brian_ramdhani_epson_co_id/Documents/Apps/Microsoft%20Forms/TAKATSU%20ANALYZE%20REPORT/Question/False%20Reject_Nazar%20Bagus%20H.%2028.PNG","id":"01D6UVHSMDMXZKTGGM4JAJERRR73IK3XHM","type":null,"size":1313,"referenceId":"01D6UVHSOX5DG5RX522VGYFCV365U3UBU3","driveId":"b!7qg8FsnQY0iiT36_x6Novv_3J9v4MtxPsytkCbb-ZPz3ScQFcxKeSqI2jw7AAtnZ","status":1,"uploadSessionUrl":null}]</t>
  </si>
  <si>
    <t>DyrA0PuIc0mmOkM3BM2Ce8gAJGaD</t>
  </si>
  <si>
    <t>After Reassy FFC Sub Product Become OK</t>
  </si>
  <si>
    <t>AR250619075424</t>
  </si>
  <si>
    <t>RP250619024947</t>
  </si>
  <si>
    <t>TKSFE-002</t>
  </si>
  <si>
    <t xml:space="preserve">Fatal error 005146 </t>
  </si>
  <si>
    <t xml:space="preserve">Setelah power on </t>
  </si>
  <si>
    <t>During Initial Power On, MNU not Moving, then Appear Fatal Error</t>
  </si>
  <si>
    <t>[{"name":"False Reject_Nazar Bagus H. 30.PNG","link":"https://epsongroup-my.sharepoint.com/personal/brian_ramdhani_epson_co_id/Documents/Apps/Microsoft%20Forms/TAKATSU%20ANALYZE%20REPORT/Question/False%20Reject_Nazar%20Bagus%20H.%2030.PNG","id":"01D6UVHSKAGZ7VX5VGRFCLEBSXXFIVMEKD","type":null,"size":1313,"referenceId":"01D6UVHSOX5DG5RX522VGYFCV365U3UBU3","driveId":"b!7qg8FsnQY0iiT36_x6Novv_3J9v4MtxPsytkCbb-ZPz3ScQFcxKeSqI2jw7AAtnZ","status":1,"uploadSessionUrl":null}]</t>
  </si>
  <si>
    <t>WekmcBCwvk-MY4sGiKwQAMgADfV8</t>
  </si>
  <si>
    <t>Re Insert FFC Sub in Line OK</t>
  </si>
  <si>
    <t>AR250619075615</t>
  </si>
  <si>
    <t>RP250619024435</t>
  </si>
  <si>
    <t xml:space="preserve">CR Scale </t>
  </si>
  <si>
    <t>CR scale ng</t>
  </si>
  <si>
    <t>During CR Scale Check, Result Appear NG</t>
  </si>
  <si>
    <t>[{"name":"CR Scale Check NG_Nazar Bagus H. 1.jpg","link":"https://epsongroup-my.sharepoint.com/personal/brian_ramdhani_epson_co_id/Documents/Apps/Microsoft%20Forms/TAKATSU%20ANALYZE%20REPORT/Question/CR%20Scale%20Check%20NG_Nazar%20Bagus%20H.%201.jpg","id":"01D6UVHSM3AUXM55226BELPCPGSXTQEJGM","type":null,"size":54364,"referenceId":"01D6UVHSOX5DG5RX522VGYFCV365U3UBU3","driveId":"b!7qg8FsnQY0iiT36_x6Novv_3J9v4MtxPsytkCbb-ZPz3ScQFcxKeSqI2jw7AAtnZ","status":1,"uploadSessionUrl":null}]</t>
  </si>
  <si>
    <t>808kAbhKkEmyy7jre2W0g8gAM8Il</t>
  </si>
  <si>
    <t>Motor CR bending</t>
  </si>
  <si>
    <t>Change Motor CR OK</t>
  </si>
  <si>
    <t>AR250623022606</t>
  </si>
  <si>
    <t>RP250623040556</t>
  </si>
  <si>
    <t>[{"name":"False Reject_M. Dzaki_Muhammad Dzaki Taufi 3.png","link":"https://epsongroup-my.sharepoint.com/personal/brian_ramdhani_epson_co_id/Documents/Apps/Microsoft%20Forms/TAKATSU%20ANALYZE%20REPORT/Question/False%20Reject_M.%20Dzaki_Muhammad%20Dzaki%20Taufi%203.png","id":"01D6UVHSP4WTV5RFWMB5AZ3EK6DPS77UA4","type":null,"size":1313,"referenceId":"01D6UVHSOX5DG5RX522VGYFCV365U3UBU3","driveId":"b!7qg8FsnQY0iiT36_x6Novv_3J9v4MtxPsytkCbb-ZPz3ScQFcxKeSqI2jw7AAtnZ","status":1,"uploadSessionUrl":null}]</t>
  </si>
  <si>
    <t>VrauReBLG0iG9R6vl1wQv8gABbKH</t>
  </si>
  <si>
    <t>AR250624011838</t>
  </si>
  <si>
    <t>RP250624013303</t>
  </si>
  <si>
    <t>NVT rank ng</t>
  </si>
  <si>
    <t>Saat proses printing NvT rank ng</t>
  </si>
  <si>
    <t>During Initial Ink Charge, Result Printing were OK, But NVT Rank and NVT Check NG</t>
  </si>
  <si>
    <t>[{"name":"NVT NG 24 Jun_Nazar Bagus H. 2.png","link":"https://epsongroup-my.sharepoint.com/personal/brian_ramdhani_epson_co_id/Documents/Apps/Microsoft%20Forms/TAKATSU%20ANALYZE%20REPORT/Question/NVT%20NG%2024%20Jun_Nazar%20Bagus%20H.%202.png","id":"01D6UVHSPR7YJBOGJCCZEZWZXEEVLXWIJV","type":null,"size":1592113,"referenceId":"01D6UVHSOX5DG5RX522VGYFCV365U3UBU3","driveId":"b!7qg8FsnQY0iiT36_x6Novv_3J9v4MtxPsytkCbb-ZPz3ScQFcxKeSqI2jw7AAtnZ","status":1,"uploadSessionUrl":null}]</t>
  </si>
  <si>
    <t>a7hmc-3lY0eWiQ8v7RXBBcgAKMZi</t>
  </si>
  <si>
    <t>Need to deep Analyze by PH Dept</t>
  </si>
  <si>
    <t>Change PH in Line</t>
  </si>
  <si>
    <t>AR250625075723</t>
  </si>
  <si>
    <t>RP250630075435</t>
  </si>
  <si>
    <t>TKSAL-016</t>
  </si>
  <si>
    <t>During Initial Power On, Product no Response</t>
  </si>
  <si>
    <t>[{"name":"Prog Not Full INsert_Nazar Bagus H..jpg","link":"https://epsongroup-my.sharepoint.com/personal/brian_ramdhani_epson_co_id/Documents/Apps/Microsoft%20Forms/TAKATSU%20ANALYZE%20REPORT/Question/Prog%20Not%20Full%20INsert_Nazar%20Bagus%20H..jpg","id":"01D6UVHSKRTAMKMEKDGBGZTHZ4SXA5D7N2","type":null,"size":109538,"referenceId":"01D6UVHSOX5DG5RX522VGYFCV365U3UBU3","driveId":"b!7qg8FsnQY0iiT36_x6Novv_3J9v4MtxPsytkCbb-ZPz3ScQFcxKeSqI2jw7AAtnZ","status":1,"uploadSessionUrl":null}]</t>
  </si>
  <si>
    <t>BtXEFGL5eUWNaCb0rcX9j8gADK1N</t>
  </si>
  <si>
    <t>CH77 Prog Not Full Insert</t>
  </si>
  <si>
    <t>Reinsert CH77 Prog, Product Become OK</t>
  </si>
  <si>
    <t>AR250625021859</t>
  </si>
  <si>
    <t>RP250626020538</t>
  </si>
  <si>
    <t>[{"name":"False Reject_M. Dzaki_Muhammad Dzaki Taufi 4.png","link":"https://epsongroup-my.sharepoint.com/personal/brian_ramdhani_epson_co_id/Documents/Apps/Microsoft%20Forms/TAKATSU%20ANALYZE%20REPORT/Question/False%20Reject_M.%20Dzaki_Muhammad%20Dzaki%20Taufi%204.png","id":"01D6UVHSOZEMUECCCFWVC3RPEF46PL3SGV","type":null,"size":1313,"referenceId":"01D6UVHSOX5DG5RX522VGYFCV365U3UBU3","driveId":"b!7qg8FsnQY0iiT36_x6Novv_3J9v4MtxPsytkCbb-ZPz3ScQFcxKeSqI2jw7AAtnZ","status":1,"uploadSessionUrl":null}]</t>
  </si>
  <si>
    <t>c72BboafTEurExOo64oE_8gAALR3</t>
  </si>
  <si>
    <t>After Discharge, Re-Initial Charge Product become OK</t>
  </si>
  <si>
    <t>AR250701115808</t>
  </si>
  <si>
    <t>RP250703103350</t>
  </si>
  <si>
    <t xml:space="preserve">Incurred </t>
  </si>
  <si>
    <t>Incurred ID 1[3] Minimum Position Inspect with Jig</t>
  </si>
  <si>
    <t>Label sensor minimum ng</t>
  </si>
  <si>
    <t>During Label Sensor Check at Stage Printing</t>
  </si>
  <si>
    <t>Saat proses label sensor</t>
  </si>
  <si>
    <t>During Label Sensor Check at Stage Printing, Found NG Incurred ID 1[3] Minimum Position Inspect with Jig on display</t>
  </si>
  <si>
    <t>[{"name":"incurred_Muhammad Dzaki Taufi.png","link":"https://epsongroup-my.sharepoint.com/personal/brian_ramdhani_epson_co_id/Documents/Apps/Microsoft%20Forms/TAKATSU%20ANALYZE%20REPORT/Question/incurred_Muhammad%20Dzaki%20Taufi.png","id":"01D6UVHSMASGVM4DYRX5GKRU3CGEJP3CLF","type":null,"size":1368790,"referenceId":"01D6UVHSOX5DG5RX522VGYFCV365U3UBU3","driveId":"b!7qg8FsnQY0iiT36_x6Novv_3J9v4MtxPsytkCbb-ZPz3ScQFcxKeSqI2jw7AAtnZ","status":1,"uploadSessionUrl":null}]</t>
  </si>
  <si>
    <t>_Y_cnmdf5EW_437jVxhI3sgAKCPf</t>
  </si>
  <si>
    <t>Possibility Value in Label Sensor Calibration is not correct</t>
  </si>
  <si>
    <t>Do Reset Adjusted Values Label Sensor Calibration at PG Stage, and Retry Calibration Adjust Values Label Sensor. Become OK</t>
  </si>
  <si>
    <t>AR250703103758</t>
  </si>
  <si>
    <t>RP250707110300</t>
  </si>
  <si>
    <t>During Shutter Check at PG stage</t>
  </si>
  <si>
    <t>During shutter check at PG Stage, found pressure drop</t>
  </si>
  <si>
    <t>[{"name":"Screenshot 2025-07-04 153105_Zainul Muttaqin.jpg","link":"https://epsongroup-my.sharepoint.com/personal/brian_ramdhani_epson_co_id/Documents/Apps/Microsoft%20Forms/TAKATSU%20ANALYZE%20REPORT/Question/Screenshot%202025-07-04%20153105_Zainul%20Muttaqin.jpg","id":"01D6UVHSPUTXF6HBRRGRGYUMB2V2FO6BOH","type":null,"size":65257,"referenceId":"01D6UVHSOX5DG5RX522VGYFCV365U3UBU3","driveId":"b!7qg8FsnQY0iiT36_x6Novv_3J9v4MtxPsytkCbb-ZPz3ScQFcxKeSqI2jw7AAtnZ","status":1,"uploadSessionUrl":null}]</t>
  </si>
  <si>
    <t>https://epsongroup-my.sharepoint.com/personal/brian_ramdhani_epson_co_id/Documents/Apps/Microsoft%20Forms/TAKATSU%20ANALYZE%20REPORT/Question/Screenshot%202025-07-04%20153105_Zainul%20Muttaqin.jpg</t>
  </si>
  <si>
    <t>waMfydWwv0ig9J5-9yP20MgAPJih</t>
  </si>
  <si>
    <t>Shutter Check NG occured due to [Jig Platen Fan Adjustment], need to study and improvement</t>
  </si>
  <si>
    <t>Change with old Jig during inspection</t>
  </si>
  <si>
    <t>AR250707104540</t>
  </si>
  <si>
    <t>RP250707025042</t>
  </si>
  <si>
    <t>X7F4008936</t>
  </si>
  <si>
    <t>Sensor NG</t>
  </si>
  <si>
    <t>During Slack Sensor Check, Found NG ID 1[5] Slack Sensor Adjustment Error on Display</t>
  </si>
  <si>
    <t>[{"name":"1751874302621_Muhammad Dzaki Taufi.jpg","link":"https://epsongroup-my.sharepoint.com/personal/brian_ramdhani_epson_co_id/Documents/Apps/Microsoft%20Forms/TAKATSU%20ANALYZE%20REPORT/Question/1751874302621_Muhammad%20Dzaki%20Taufi.jpg","id":"01D6UVHSOR65C5L4T6ZBD3GKACLGYCO443","type":null,"size":4641530,"referenceId":"01D6UVHSOX5DG5RX522VGYFCV365U3UBU3","driveId":"b!7qg8FsnQY0iiT36_x6Novv_3J9v4MtxPsytkCbb-ZPz3ScQFcxKeSqI2jw7AAtnZ","status":1,"uploadSessionUrl":null}]</t>
  </si>
  <si>
    <t>https://epsongroup-my.sharepoint.com/personal/brian_ramdhani_epson_co_id/Documents/Apps/Microsoft%20Forms/TAKATSU%20ANALYZE%20REPORT/Question/1751874302621_Muhammad%20Dzaki%20Taufi.jpg</t>
  </si>
  <si>
    <t>jl_F_ZbYa0K8g52qgiK9O8gAPz7E</t>
  </si>
  <si>
    <t>Suspect Slack Sensor NG</t>
  </si>
  <si>
    <t>Change Slack Sensor Become OK, (Slack Sensor NG Need to be Confirm on Another Product)</t>
  </si>
  <si>
    <t>AR250707104603</t>
  </si>
  <si>
    <t>RP250707030301</t>
  </si>
  <si>
    <t>During Slack Sensor Adjustment Check, Found NG on Display</t>
  </si>
  <si>
    <t>[{"name":"1751874302621_Muhammad Dzaki Taufi 1.jpg","link":"https://epsongroup-my.sharepoint.com/personal/brian_ramdhani_epson_co_id/Documents/Apps/Microsoft%20Forms/TAKATSU%20ANALYZE%20REPORT/Question/1751874302621_Muhammad%20Dzaki%20Taufi%201.jpg","id":"01D6UVHSPBJUHCCNIEDRHZYCANKSPNBRDK","type":null,"size":4641530,"referenceId":"01D6UVHSOX5DG5RX522VGYFCV365U3UBU3","driveId":"b!7qg8FsnQY0iiT36_x6Novv_3J9v4MtxPsytkCbb-ZPz3ScQFcxKeSqI2jw7AAtnZ","status":1,"uploadSessionUrl":null}]</t>
  </si>
  <si>
    <t>https://epsongroup-my.sharepoint.com/personal/brian_ramdhani_epson_co_id/Documents/Apps/Microsoft%20Forms/TAKATSU%20ANALYZE%20REPORT/Question/1751874302621_Muhammad%20Dzaki%20Taufi%201.jpg</t>
  </si>
  <si>
    <t>YdgKNR5Nc0yD9rkH2WzkqMgAJ3Xv</t>
  </si>
  <si>
    <t>Change Slack Sensor Become OK. (NG Slack Sensor Need to Confirm on Another Product)</t>
  </si>
  <si>
    <t>AR250708024402</t>
  </si>
  <si>
    <t>RP250710013929</t>
  </si>
  <si>
    <t>X7F4009004</t>
  </si>
  <si>
    <t>Abnormal print</t>
  </si>
  <si>
    <t>Jig 03</t>
  </si>
  <si>
    <t>During Print Check 2 Process, Found Abnormal Print on Result Printing</t>
  </si>
  <si>
    <t>[{"name":"1752022748306_Muhammad Dzaki Taufi.jpg","link":"https://epsongroup-my.sharepoint.com/personal/brian_ramdhani_epson_co_id/Documents/Apps/Microsoft%20Forms/TAKATSU%20ANALYZE%20REPORT/Question/1752022748306_Muhammad%20Dzaki%20Taufi.jpg","id":"01D6UVHSMY6JJ3BC5WKVA3UGTCJ2QBIYV2","type":null,"size":3398732,"referenceId":"01D6UVHSOX5DG5RX522VGYFCV365U3UBU3","driveId":"b!7qg8FsnQY0iiT36_x6Novv_3J9v4MtxPsytkCbb-ZPz3ScQFcxKeSqI2jw7AAtnZ","status":1,"uploadSessionUrl":null}]</t>
  </si>
  <si>
    <t>https://epsongroup-my.sharepoint.com/personal/brian_ramdhani_epson_co_id/Documents/Apps/Microsoft%20Forms/TAKATSU%20ANALYZE%20REPORT/Question/1752022748306_Muhammad%20Dzaki%20Taufi.jpg</t>
  </si>
  <si>
    <t>jPmn5NHBoE6XVL9Kv1PkAcgACN9F</t>
  </si>
  <si>
    <t>Suspect CH77 Prog Not Full Insert</t>
  </si>
  <si>
    <t>Re Assy CH77 Prog Product Become OK</t>
  </si>
  <si>
    <t>AR250710090411</t>
  </si>
  <si>
    <t>RP250710014010</t>
  </si>
  <si>
    <t>X7F4009031</t>
  </si>
  <si>
    <t>PH Defect</t>
  </si>
  <si>
    <t>During Printing process, Found NG DO on Result Nozzle Check</t>
  </si>
  <si>
    <t>[{"name":"NG DO_Muhammad Dzaki Taufi.png","link":"https://epsongroup-my.sharepoint.com/personal/brian_ramdhani_epson_co_id/Documents/Apps/Microsoft%20Forms/TAKATSU%20ANALYZE%20REPORT/Question/NG%20DO_Muhammad%20Dzaki%20Taufi.png","id":"01D6UVHSJTW5VI5THSC5GJA52QIBO5DXY6","type":null,"size":2073765,"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</si>
  <si>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https://epsongroup-my.sharepoint.com/personal/brian_ramdhani_epson_co_id/Documents/Apps/Microsoft%20Forms/TAKATSU%20ANALYZE%20REPORT/Question/NG%20DO_Muhammad%20Dzaki%20Taufi.png</t>
  </si>
  <si>
    <t>mohwbBmkpEa1NCYyOKd2LMgAMeO2</t>
  </si>
  <si>
    <t>False Reject. After Wiping PH, Product Become OK</t>
  </si>
  <si>
    <t>AR250710030146</t>
  </si>
  <si>
    <t>RP250714104753</t>
  </si>
  <si>
    <t>X7F5001276</t>
  </si>
  <si>
    <t>During Internal Inspection Check</t>
  </si>
  <si>
    <t>Jig NG</t>
  </si>
  <si>
    <t>[{"name":"TTD_Brian Ramdhani.png","link":"https://epsongroup-my.sharepoint.com/personal/brian_ramdhani_epson_co_id/Documents/Apps/Microsoft%20Forms/TAKATSU%20ANALYZE%20REPORT/Question/TTD_Brian%20Ramdhani.png","id":"01D6UVHSMF5P63LNRZ4NE25MFJL5UVUSI5","type":null,"size":67423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</si>
  <si>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https://epsongroup-my.sharepoint.com/personal/brian_ramdhani_epson_co_id/Documents/Apps/Microsoft%20Forms/TAKATSU%20ANALYZE%20REPORT/Question/False%20Reject_Nazar%20Bagus%20H.%2033.PNG</t>
  </si>
  <si>
    <t>2jOG1cN40Uy9h4xehniXNMgAAoXL</t>
  </si>
  <si>
    <t>Karena Jig Ink Catridge NG</t>
  </si>
  <si>
    <t>Change Jig</t>
  </si>
  <si>
    <t>AR250714115729</t>
  </si>
  <si>
    <t>RP250716102239</t>
  </si>
  <si>
    <t>X7EN006427</t>
  </si>
  <si>
    <t>During Printing Process, Found NG UP on Result Printing</t>
  </si>
  <si>
    <t>[{"name":"Picture1_Muhammad Dzaki Taufi 2.png","link":"https://epsongroup-my.sharepoint.com/personal/brian_ramdhani_epson_co_id/Documents/Apps/Microsoft%20Forms/TAKATSU%20ANALYZE%20REPORT/Question/Picture1_Muhammad%20Dzaki%20Taufi%202.png","id":"01D6UVHSJYWWJWAS6PNVAL7J3MMVYLRZEW","type":null,"size":1342579,"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</si>
  <si>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https://epsongroup-my.sharepoint.com/personal/brian_ramdhani_epson_co_id/Documents/Apps/Microsoft%20Forms/TAKATSU%20ANALYZE%20REPORT/Question/Picture1_Muhammad%20Dzaki%20Taufi%202.png</t>
  </si>
  <si>
    <t>AvdsvPGM0UyY8w2XnnSqMcgAIpCS</t>
  </si>
  <si>
    <t>Suspect Bubble in PH</t>
  </si>
  <si>
    <t>Change new PH product become OK. NG PH keep in one night then, assy in the new product next day Result is OK.</t>
  </si>
  <si>
    <t>AR250714033541</t>
  </si>
  <si>
    <t>RP250804084705</t>
  </si>
  <si>
    <t>X7FP006506</t>
  </si>
  <si>
    <t>During initial Power on at STage Printing. found Product stuck at Loading Screen then appera Fatal Error 5853</t>
  </si>
  <si>
    <t>[{"name":"5853_Nazar Bagus H. 5.png","link":"https://epsongroup-my.sharepoint.com/personal/brian_ramdhani_epson_co_id/Documents/Apps/Microsoft%20Forms/TAKATSU%20ANALYZE%20REPORT/Question/5853_Nazar%20Bagus%20H.%205.png","id":"01D6UVHSLPOTTFEPDUJJBK26PHAGR5Z7R3","type":null,"size":245273,"referenceId":"01D6UVHSOX5DG5RX522VGYFCV365U3UBU3","driveId":"b!7qg8FsnQY0iiT36_x6Novv_3J9v4MtxPsytkCbb-ZPz3ScQFcxKeSqI2jw7AAtnZ","status":1,"uploadSessionUrl":null}]</t>
  </si>
  <si>
    <t>https://epsongroup-my.sharepoint.com/personal/brian_ramdhani_epson_co_id/Documents/Apps/Microsoft%20Forms/TAKATSU%20ANALYZE%20REPORT/Question/5853_Nazar%20Bagus%20H.%205.png</t>
  </si>
  <si>
    <t>JIG Dummy Ink Cartridge bocor</t>
  </si>
  <si>
    <t xml:space="preserve">Repair JIG Dummy I/C </t>
  </si>
  <si>
    <t>AR250715073703</t>
  </si>
  <si>
    <t>RP250716083622</t>
  </si>
  <si>
    <t>During Initial Power On, Appear Fatal Error 5853 on TFT Screen</t>
  </si>
  <si>
    <t>[{"name":"5853_Nazar Bagus H. 1.png","link":"https://epsongroup-my.sharepoint.com/personal/brian_ramdhani_epson_co_id/Documents/Apps/Microsoft%20Forms/TAKATSU%20ANALYZE%20REPORT/Question/5853_Nazar%20Bagus%20H.%201.png","id":"01D6UVHSP26HRYRIX5LNAKTN3EUIR7F2C4","type":null,"size":245273,"referenceId":"01D6UVHSOX5DG5RX522VGYFCV365U3UBU3","driveId":"b!7qg8FsnQY0iiT36_x6Novv_3J9v4MtxPsytkCbb-ZPz3ScQFcxKeSqI2jw7AAtnZ","status":1,"uploadSessionUrl":null}]</t>
  </si>
  <si>
    <t>https://epsongroup-my.sharepoint.com/personal/brian_ramdhani_epson_co_id/Documents/Apps/Microsoft%20Forms/TAKATSU%20ANALYZE%20REPORT/Question/5853_Nazar%20Bagus%20H.%201.png</t>
  </si>
  <si>
    <t>D9CX_4SxWkG5ekueKY5GpMgAJEPI</t>
  </si>
  <si>
    <t>Pin on FFC Sub Right Shifting</t>
  </si>
  <si>
    <t>Additional FFC Insertion Treatment on MA02, Change LOT on FFC Sub Right, Continue Analyze about this Phenomenon</t>
  </si>
  <si>
    <t>AR250715103244</t>
  </si>
  <si>
    <t>RP250716103005</t>
  </si>
  <si>
    <t>X7FP006509</t>
  </si>
  <si>
    <t>During printing process, Found NG UP on Result Printing</t>
  </si>
  <si>
    <t>[{"name":"False Reject_M. Dzaki_Muhammad Dzaki Taufi 5.png","link":"https://epsongroup-my.sharepoint.com/personal/brian_ramdhani_epson_co_id/Documents/Apps/Microsoft%20Forms/TAKATSU%20ANALYZE%20REPORT/Question/False%20Reject_M.%20Dzaki_Muhammad%20Dzaki%20Taufi%205.png","id":"01D6UVHSKDCPKUGDCJVBAKLOSCN5TFSAKU","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</si>
  <si>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https://epsongroup-my.sharepoint.com/personal/brian_ramdhani_epson_co_id/Documents/Apps/Microsoft%20Forms/TAKATSU%20ANALYZE%20REPORT/Question/False%20Reject_M.%20Dzaki_Muhammad%20Dzaki%20Taufi%205.png</t>
  </si>
  <si>
    <t>ijfT59rnpEK1f4SJHNrvVMgAJPxV</t>
  </si>
  <si>
    <t>After Discharge process, Product Become OK</t>
  </si>
  <si>
    <t>AR250715022758</t>
  </si>
  <si>
    <t>RP250721084615</t>
  </si>
  <si>
    <t>X7FP006518</t>
  </si>
  <si>
    <t>Screw Loo</t>
  </si>
  <si>
    <t>Screw Loose</t>
  </si>
  <si>
    <t>Loose Screw</t>
  </si>
  <si>
    <t>Hole frame cr upper loose</t>
  </si>
  <si>
    <t>During Casing Stage</t>
  </si>
  <si>
    <t>During Screwing Upper Cover, found Screw loose</t>
  </si>
  <si>
    <t>[{"name":"Screw loose_Nazar Bagus H..jpg","link":"https://epsongroup-my.sharepoint.com/personal/brian_ramdhani_epson_co_id/Documents/Apps/Microsoft%20Forms/TAKATSU%20ANALYZE%20REPORT/Question/Screw%20loose_Nazar%20Bagus%20H..jpg","id":"01D6UVHSL6T3BX2ETPXJFLTFDLSND4LT6W","type":null,"size":60478,"referenceId":"01D6UVHSOX5DG5RX522VGYFCV365U3UBU3","driveId":"b!7qg8FsnQY0iiT36_x6Novv_3J9v4MtxPsytkCbb-ZPz3ScQFcxKeSqI2jw7AAtnZ","status":1,"uploadSessionUrl":null}]</t>
  </si>
  <si>
    <t>https://epsongroup-my.sharepoint.com/personal/brian_ramdhani_epson_co_id/Documents/Apps/Microsoft%20Forms/TAKATSU%20ANALYZE%20REPORT/Question/Screw%20loose_Nazar%20Bagus%20H..jpg</t>
  </si>
  <si>
    <t>Op2F7qlIwEi8R8inpf8Pu8gALJ0L</t>
  </si>
  <si>
    <t>Segregate Part at WIP and WH and Guarantee New Incoming Parts</t>
  </si>
  <si>
    <t>AR250716094917</t>
  </si>
  <si>
    <t>RP250717092914</t>
  </si>
  <si>
    <t>X7F4009053</t>
  </si>
  <si>
    <t>During printing process, Found NG DO on Result Nozzle Check Printing</t>
  </si>
  <si>
    <t>[{"name":"can i get lol or_Muhammad Dzaki Taufi.jpg","link":"https://epsongroup-my.sharepoint.com/personal/brian_ramdhani_epson_co_id/Documents/Apps/Microsoft%20Forms/TAKATSU%20ANALYZE%20REPORT/Question/can%20i%20get%20lol%20or_Muhammad%20Dzaki%20Taufi.jpg","id":"01D6UVHSPO5Y2LPMKMJZFJG43HGWMCHTM6","type":null,"size":76030,"referenceId":"01D6UVHSOX5DG5RX522VGYFCV365U3UBU3","driveId":"b!7qg8FsnQY0iiT36_x6Novv_3J9v4MtxPsytkCbb-ZPz3ScQFcxKeSqI2jw7AAtnZ","status":1,"uploadSessionUrl":null}]</t>
  </si>
  <si>
    <t>https://epsongroup-my.sharepoint.com/personal/brian_ramdhani_epson_co_id/Documents/Apps/Microsoft%20Forms/TAKATSU%20ANALYZE%20REPORT/Question/can%20i%20get%20lol%20or_Muhammad%20Dzaki%20Taufi.jpg</t>
  </si>
  <si>
    <t>y9QJ3XxtJUCC_msRiZspH8gAGCfH</t>
  </si>
  <si>
    <t>False Reject. After Wipping PH product become OK</t>
  </si>
  <si>
    <t>Wipping PH at Repair, Re Initial Charge product become OK</t>
  </si>
  <si>
    <t>AR250717112215</t>
  </si>
  <si>
    <t>RP250721033252</t>
  </si>
  <si>
    <t>X7F4009070</t>
  </si>
  <si>
    <t>Jig jig 04</t>
  </si>
  <si>
    <t>During Printing Process, Found NG DMAV on Result Nozzle Printing</t>
  </si>
  <si>
    <t>[{"name":"1748218413217_Muhammad Dzaki Taufi 1.jpg","link":"https://epsongroup-my.sharepoint.com/personal/brian_ramdhani_epson_co_id/Documents/Apps/Microsoft%20Forms/TAKATSU%20ANALYZE%20REPORT/Question/1748218413217_Muhammad%20Dzaki%20Taufi%201.jpg","id":"01D6UVHSL7XQREDDXVHRDZDUB5WR6ODRXZ","type":null,"size":4837413,"referenceId":"01D6UVHSOX5DG5RX522VGYFCV365U3UBU3","driveId":"b!7qg8FsnQY0iiT36_x6Novv_3J9v4MtxPsytkCbb-ZPz3ScQFcxKeSqI2jw7AAtnZ","status":1,"uploadSessionUrl":null}]</t>
  </si>
  <si>
    <t>https://epsongroup-my.sharepoint.com/personal/brian_ramdhani_epson_co_id/Documents/Apps/Microsoft%20Forms/TAKATSU%20ANALYZE%20REPORT/Question/1748218413217_Muhammad%20Dzaki%20Taufi%201.jpg</t>
  </si>
  <si>
    <t>_ieuJRnyLk-klxrT19v7MMgAPYM-</t>
  </si>
  <si>
    <t>Suspect Foreign Material in Nozzle PH</t>
  </si>
  <si>
    <t>Change New PH Become OK. NG PH keep one night then Assy to New Mecha Become OK</t>
  </si>
  <si>
    <t>AR250717120321</t>
  </si>
  <si>
    <t>RP250721081548</t>
  </si>
  <si>
    <t>X7FQ009469</t>
  </si>
  <si>
    <t>Air Leak NG</t>
  </si>
  <si>
    <t>Airleak (bk) ng</t>
  </si>
  <si>
    <t>Saat earleak check</t>
  </si>
  <si>
    <t>During Air Leak Inspection, Found Air Leak decreasing and appear NG on Screen</t>
  </si>
  <si>
    <t>[{"name":"Rubber Unpost_Nazar Bagus H..jpg","link":"https://epsongroup-my.sharepoint.com/personal/brian_ramdhani_epson_co_id/Documents/Apps/Microsoft%20Forms/TAKATSU%20ANALYZE%20REPORT/Question/Rubber%20Unpost_Nazar%20Bagus%20H..jpg","id":"01D6UVHSOE64AR7B5S4JB3NI7EJKBHCW6W","type":null,"size":61513,"referenceId":"01D6UVHSOX5DG5RX522VGYFCV365U3UBU3","driveId":"b!7qg8FsnQY0iiT36_x6Novv_3J9v4MtxPsytkCbb-ZPz3ScQFcxKeSqI2jw7AAtnZ","status":1,"uploadSessionUrl":null}]</t>
  </si>
  <si>
    <t>https://epsongroup-my.sharepoint.com/personal/brian_ramdhani_epson_co_id/Documents/Apps/Microsoft%20Forms/TAKATSU%20ANALYZE%20REPORT/Question/Rubber%20Unpost_Nazar%20Bagus%20H..jpg</t>
  </si>
  <si>
    <t>AajJUaTvsE-ypcMBCtD-ycgADUSR</t>
  </si>
  <si>
    <t>Rubber seal on Supply Unit Unpost, Possibility Unpost during Supply Unit Assembly on Main Assy</t>
  </si>
  <si>
    <t>Change Supply Unit in Line</t>
  </si>
  <si>
    <t>AR250718071332</t>
  </si>
  <si>
    <t>RP250721034114</t>
  </si>
  <si>
    <t>During Printing Process, Found NG DMAV on Result Printing Process</t>
  </si>
  <si>
    <t>[{"name":"1747366412767_Muhammad Dzaki Taufi.jpg","link":"https://epsongroup-my.sharepoint.com/personal/brian_ramdhani_epson_co_id/Documents/Apps/Microsoft%20Forms/TAKATSU%20ANALYZE%20REPORT/Question/1747366412767_Muhammad%20Dzaki%20Taufi.jpg","id":"01D6UVHSM54S3GX56TCVGIUYP22OAAILTL","type":null,"size":5391123,"referenceId":"01D6UVHSOX5DG5RX522VGYFCV365U3UBU3","driveId":"b!7qg8FsnQY0iiT36_x6Novv_3J9v4MtxPsytkCbb-ZPz3ScQFcxKeSqI2jw7AAtnZ","status":1,"uploadSessionUrl":null}]</t>
  </si>
  <si>
    <t>https://epsongroup-my.sharepoint.com/personal/brian_ramdhani_epson_co_id/Documents/Apps/Microsoft%20Forms/TAKATSU%20ANALYZE%20REPORT/Question/1747366412767_Muhammad%20Dzaki%20Taufi.jpg</t>
  </si>
  <si>
    <t>G8pHdq5SE06ivwhZ1IwxBcgAC__w</t>
  </si>
  <si>
    <t>Still Analyze by PH Dept for Deep Analyze</t>
  </si>
  <si>
    <t>AR250721074922</t>
  </si>
  <si>
    <t>RP250721021424</t>
  </si>
  <si>
    <t>X7EN006451</t>
  </si>
  <si>
    <t>TKSAL-015</t>
  </si>
  <si>
    <t>During MNU Measurement, Result NG</t>
  </si>
  <si>
    <t>[{"name":"MNU Measurement Check_Nazar Bagus H..jpg","link":"https://epsongroup-my.sharepoint.com/personal/brian_ramdhani_epson_co_id/Documents/Apps/Microsoft%20Forms/TAKATSU%20ANALYZE%20REPORT/Question/MNU%20Measurement%20Check_Nazar%20Bagus%20H..jpg","id":"01D6UVHSM6XOXRZ5TXENBYOGN5FQGG5OUG","type":null,"size":73508,"referenceId":"01D6UVHSOX5DG5RX522VGYFCV365U3UBU3","driveId":"b!7qg8FsnQY0iiT36_x6Novv_3J9v4MtxPsytkCbb-ZPz3ScQFcxKeSqI2jw7AAtnZ","status":1,"uploadSessionUrl":null}]</t>
  </si>
  <si>
    <t>https://epsongroup-my.sharepoint.com/personal/brian_ramdhani_epson_co_id/Documents/Apps/Microsoft%20Forms/TAKATSU%20ANALYZE%20REPORT/Question/MNU%20Measurement%20Check_Nazar%20Bagus%20H..jpg</t>
  </si>
  <si>
    <t>Kg-3LgEh40Cq29C33fmPvcgAFQpF</t>
  </si>
  <si>
    <t>Re Assy MNU Gear then Re check OK</t>
  </si>
  <si>
    <t>AR250721095429</t>
  </si>
  <si>
    <t>RP250721034505</t>
  </si>
  <si>
    <t>X7EN006461</t>
  </si>
  <si>
    <t>During Printing Process, Found NG DMAV</t>
  </si>
  <si>
    <t>[{"name":"False Reject_M. Dzaki_Muhammad Dzaki Taufi 6.png","link":"https://epsongroup-my.sharepoint.com/personal/brian_ramdhani_epson_co_id/Documents/Apps/Microsoft%20Forms/TAKATSU%20ANALYZE%20REPORT/Question/False%20Reject_M.%20Dzaki_Muhammad%20Dzaki%20Taufi%206.png","id":"01D6UVHSKNP7T3DIDASVBYFTK2CKEP44S4","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</si>
  <si>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https://epsongroup-my.sharepoint.com/personal/brian_ramdhani_epson_co_id/Documents/Apps/Microsoft%20Forms/TAKATSU%20ANALYZE%20REPORT/Question/False%20Reject_M.%20Dzaki_Muhammad%20Dzaki%20Taufi%206.png</t>
  </si>
  <si>
    <t>5UnXqV0XyEyZfOnoJ-MbGsgAMQlg</t>
  </si>
  <si>
    <t>After Wipping, Product Become OK</t>
  </si>
  <si>
    <t>AR250721120408</t>
  </si>
  <si>
    <t>RP250723103828</t>
  </si>
  <si>
    <t>X7EN006468</t>
  </si>
  <si>
    <t>Minimum position chek ng</t>
  </si>
  <si>
    <t>During Label Sensor Check</t>
  </si>
  <si>
    <t>Saat proses label sensor cek</t>
  </si>
  <si>
    <t>[{"name":"image0_Muhammad Dzaki Taufi.png","link":"https://epsongroup-my.sharepoint.com/personal/brian_ramdhani_epson_co_id/Documents/Apps/Microsoft%20Forms/TAKATSU%20ANALYZE%20REPORT/Question/image0_Muhammad%20Dzaki%20Taufi.png","id":"01D6UVHSINFZRUVTV63FB3E6YRAVGCCEJI","type":null,"size":166255,"referenceId":"01D6UVHSOX5DG5RX522VGYFCV365U3UBU3","driveId":"b!7qg8FsnQY0iiT36_x6Novv_3J9v4MtxPsytkCbb-ZPz3ScQFcxKeSqI2jw7AAtnZ","status":1,"uploadSessionUrl":null}]</t>
  </si>
  <si>
    <t>https://epsongroup-my.sharepoint.com/personal/brian_ramdhani_epson_co_id/Documents/Apps/Microsoft%20Forms/TAKATSU%20ANALYZE%20REPORT/Question/image0_Muhammad%20Dzaki%20Taufi.png</t>
  </si>
  <si>
    <t>hRTO3ETs8Ea_MS7eZljLm8gALS3o</t>
  </si>
  <si>
    <t>Suspect Value in Label Sensor Calibration is not correct</t>
  </si>
  <si>
    <t>AR250721121154</t>
  </si>
  <si>
    <t>RP250729102559</t>
  </si>
  <si>
    <t>X7EN006459</t>
  </si>
  <si>
    <t>During Printing Process, Found NG DO on Printing Result</t>
  </si>
  <si>
    <t>[{"name":"1746585046121_Muhammad Dzaki Taufi.jpg","link":"https://epsongroup-my.sharepoint.com/personal/brian_ramdhani_epson_co_id/Documents/Apps/Microsoft%20Forms/TAKATSU%20ANALYZE%20REPORT/Question/1746585046121_Muhammad%20Dzaki%20Taufi.jpg","id":"01D6UVHSIOJWW3L5OZBVFKZVQJLKAKRCTL","type":null,"size":3535730,"referenceId":"01D6UVHSOX5DG5RX522VGYFCV365U3UBU3","driveId":"b!7qg8FsnQY0iiT36_x6Novv_3J9v4MtxPsytkCbb-ZPz3ScQFcxKeSqI2jw7AAtnZ","status":1,"uploadSessionUrl":null}]</t>
  </si>
  <si>
    <t>https://epsongroup-my.sharepoint.com/personal/brian_ramdhani_epson_co_id/Documents/Apps/Microsoft%20Forms/TAKATSU%20ANALYZE%20REPORT/Question/1746585046121_Muhammad%20Dzaki%20Taufi.jpg</t>
  </si>
  <si>
    <t>5kFDnkWT50armwrhwPVbLMgAMlib</t>
  </si>
  <si>
    <t>Change PH in Line Become OK</t>
  </si>
  <si>
    <t>AR250723090412</t>
  </si>
  <si>
    <t>RP250729074750</t>
  </si>
  <si>
    <t>X7ER001210</t>
  </si>
  <si>
    <t>During Initial Power On, Appear FE5853</t>
  </si>
  <si>
    <t>[{"name":"5853_Nazar Bagus H. 3.png","link":"https://epsongroup-my.sharepoint.com/personal/brian_ramdhani_epson_co_id/Documents/Apps/Microsoft%20Forms/TAKATSU%20ANALYZE%20REPORT/Question/5853_Nazar%20Bagus%20H.%203.png","id":"01D6UVHSLMFZ7N5MKOMBG3PEMCZM66V6UT","type":null,"size":245273,"referenceId":"01D6UVHSOX5DG5RX522VGYFCV365U3UBU3","driveId":"b!7qg8FsnQY0iiT36_x6Novv_3J9v4MtxPsytkCbb-ZPz3ScQFcxKeSqI2jw7AAtnZ","status":1,"uploadSessionUrl":null}]</t>
  </si>
  <si>
    <t>https://epsongroup-my.sharepoint.com/personal/brian_ramdhani_epson_co_id/Documents/Apps/Microsoft%20Forms/TAKATSU%20ANALYZE%20REPORT/Question/5853_Nazar%20Bagus%20H.%203.png</t>
  </si>
  <si>
    <t>33tkuBHIPE6-c4GEa7Z-wcgALEBw</t>
  </si>
  <si>
    <t>Connection FFC Sub Shifting</t>
  </si>
  <si>
    <t>Change FFC SUB Right, Measure FFC SUB Right and Connector</t>
  </si>
  <si>
    <t>AR250723030016</t>
  </si>
  <si>
    <t>RP250729025517</t>
  </si>
  <si>
    <t>X7EX00090</t>
  </si>
  <si>
    <t>Applicator port cek ng</t>
  </si>
  <si>
    <t xml:space="preserve">During Applicator Check PG </t>
  </si>
  <si>
    <t>During Applicator Check at Stage PG, found Result NG</t>
  </si>
  <si>
    <t>[{"name":"Applicator NG_Muhammad Dzaki Taufi.jpg","link":"https://epsongroup-my.sharepoint.com/personal/brian_ramdhani_epson_co_id/Documents/Apps/Microsoft%20Forms/TAKATSU%20ANALYZE%20REPORT/Question/Applicator%20NG_Muhammad%20Dzaki%20Taufi.jpg","id":"01D6UVHSPMXWZOPL7CDVEKQZZRD7OUIL7J","type":null,"size":21998,"referenceId":"01D6UVHSOX5DG5RX522VGYFCV365U3UBU3","driveId":"b!7qg8FsnQY0iiT36_x6Novv_3J9v4MtxPsytkCbb-ZPz3ScQFcxKeSqI2jw7AAtnZ","status":1,"uploadSessionUrl":null}]</t>
  </si>
  <si>
    <t>https://epsongroup-my.sharepoint.com/personal/brian_ramdhani_epson_co_id/Documents/Apps/Microsoft%20Forms/TAKATSU%20ANALYZE%20REPORT/Question/Applicator%20NG_Muhammad%20Dzaki%20Taufi.jpg</t>
  </si>
  <si>
    <t>8wTbf74ZbUivuDPTIksbesgAGkAR</t>
  </si>
  <si>
    <t>Applicator Board NG</t>
  </si>
  <si>
    <t>Change Applicator Port, Product Become OK</t>
  </si>
  <si>
    <t>AR250724082543</t>
  </si>
  <si>
    <t>RP250729075036</t>
  </si>
  <si>
    <t>X7FQ009491</t>
  </si>
  <si>
    <t>During CR Measurement Check, Found Value Over</t>
  </si>
  <si>
    <t>[{"name":"CR Measurement_Nazar Bagus H. 2.png","link":"https://epsongroup-my.sharepoint.com/personal/brian_ramdhani_epson_co_id/Documents/Apps/Microsoft%20Forms/TAKATSU%20ANALYZE%20REPORT/Question/CR%20Measurement_Nazar%20Bagus%20H.%202.png","id":"01D6UVHSP2CNEFYYROQBFLZ5YV7HGBQF7M","type":null,"size":15976,"referenceId":"01D6UVHSOX5DG5RX522VGYFCV365U3UBU3","driveId":"b!7qg8FsnQY0iiT36_x6Novv_3J9v4MtxPsytkCbb-ZPz3ScQFcxKeSqI2jw7AAtnZ","status":1,"uploadSessionUrl":null}]</t>
  </si>
  <si>
    <t>https://epsongroup-my.sharepoint.com/personal/brian_ramdhani_epson_co_id/Documents/Apps/Microsoft%20Forms/TAKATSU%20ANALYZE%20REPORT/Question/CR%20Measurement_Nazar%20Bagus%20H.%202.png</t>
  </si>
  <si>
    <t>k4vLc4ri6k6zjOFMld7aY8gAK1kb</t>
  </si>
  <si>
    <t>Uneven Grease Application on Shaft CR</t>
  </si>
  <si>
    <t>Re-Apply Grease on Shaft CR become OK</t>
  </si>
  <si>
    <t>AR250725024334</t>
  </si>
  <si>
    <t>RP250804084948</t>
  </si>
  <si>
    <t>X7EN006483</t>
  </si>
  <si>
    <t>During Initial Power On at stage Printing, Found product stuck at Loading Interface</t>
  </si>
  <si>
    <t>[{"name":"5853_Nazar Bagus H. 6.png","link":"https://epsongroup-my.sharepoint.com/personal/brian_ramdhani_epson_co_id/Documents/Apps/Microsoft%20Forms/TAKATSU%20ANALYZE%20REPORT/Question/5853_Nazar%20Bagus%20H.%206.png","id":"01D6UVHSPW5M7D2KA425E3AB3DVXTYIHST","type":null,"size":245273,"referenceId":"01D6UVHSOX5DG5RX522VGYFCV365U3UBU3","driveId":"b!7qg8FsnQY0iiT36_x6Novv_3J9v4MtxPsytkCbb-ZPz3ScQFcxKeSqI2jw7AAtnZ","status":1,"uploadSessionUrl":null}]</t>
  </si>
  <si>
    <t>https://epsongroup-my.sharepoint.com/personal/brian_ramdhani_epson_co_id/Documents/Apps/Microsoft%20Forms/TAKATSU%20ANALYZE%20REPORT/Question/5853_Nazar%20Bagus%20H.%206.png</t>
  </si>
  <si>
    <t>6zrDSPQW-0y4Iuc-_SHi6cgAPIVH</t>
  </si>
  <si>
    <t>any Leakage on DUmmy I/C at stage printing</t>
  </si>
  <si>
    <t>Repair JIG Dummy I/C</t>
  </si>
  <si>
    <t>AR250728113031</t>
  </si>
  <si>
    <t>RP250805104252</t>
  </si>
  <si>
    <t>X7EN006501</t>
  </si>
  <si>
    <t>During Loading Paper Matte Sensor Gap. Found Paper Loading Unstoppable then appear Paper Jam.</t>
  </si>
  <si>
    <t>[{"name":"Paper Jam Auto Cutter_Nazar Bagus H. 2.jpg","link":"https://epsongroup-my.sharepoint.com/personal/brian_ramdhani_epson_co_id/Documents/Apps/Microsoft%20Forms/TAKATSU%20ANALYZE%20REPORT/Question/Paper%20Jam%20Auto%20Cutter_Nazar%20Bagus%20H.%202.jpg","id":"01D6UVHSM2574FXWCCGNFJFQXPXTJEHAXO","type":null,"size":82435,"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</si>
  <si>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https://epsongroup-my.sharepoint.com/personal/brian_ramdhani_epson_co_id/Documents/Apps/Microsoft%20Forms/TAKATSU%20ANALYZE%20REPORT/Question/Paper%20Jam%20Auto%20Cutter_Nazar%20Bagus%20H.%202.jpg</t>
  </si>
  <si>
    <t>z6z2nVzz8kuWpgRHb99Ro8gAO86_</t>
  </si>
  <si>
    <t>Operator forgot to turn on Lighting on Stage Printing</t>
  </si>
  <si>
    <t>Re Setting Gap and Re try OK</t>
  </si>
  <si>
    <t>AR250729073643</t>
  </si>
  <si>
    <t>RP250806082354</t>
  </si>
  <si>
    <t>X7EN006524</t>
  </si>
  <si>
    <t>Printer initial roler lever ng</t>
  </si>
  <si>
    <t>During Inspection sensor in Internal Process, Found sensor Roller Lever can't detect</t>
  </si>
  <si>
    <t>[{"name":"False Reject_M. Dzaki_Muhammad Dzaki Taufi 8.png","link":"https://epsongroup-my.sharepoint.com/personal/brian_ramdhani_epson_co_id/Documents/Apps/Microsoft%20Forms/TAKATSU%20ANALYZE%20REPORT/Question/False%20Reject_M.%20Dzaki_Muhammad%20Dzaki%20Taufi%208.png","id":"01D6UVHSLYB7LSK2MLZZGI6BZ2RKHHGIQO","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</si>
  <si>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https://epsongroup-my.sharepoint.com/personal/brian_ramdhani_epson_co_id/Documents/Apps/Microsoft%20Forms/TAKATSU%20ANALYZE%20REPORT/Question/False%20Reject_M.%20Dzaki_Muhammad%20Dzaki%20Taufi%208.png</t>
  </si>
  <si>
    <t>IreyHC2fAkWsRpV8EprwQMgAE4EC</t>
  </si>
  <si>
    <t>After Re Initial Inspect Mode, Product Become OK</t>
  </si>
  <si>
    <t>AR250729093701</t>
  </si>
  <si>
    <t>RP250729022351</t>
  </si>
  <si>
    <t>X7EN006510</t>
  </si>
  <si>
    <t>During CSIC Check at Stage External, CSIC Check NG</t>
  </si>
  <si>
    <t>[{"name":"False Reject_Nazar Bagus H. 34.PNG","link":"https://epsongroup-my.sharepoint.com/personal/brian_ramdhani_epson_co_id/Documents/Apps/Microsoft%20Forms/TAKATSU%20ANALYZE%20REPORT/Question/False%20Reject_Nazar%20Bagus%20H.%2034.PNG","id":"01D6UVHSO3GC4HMVCSGVGIEGRS5NZWCPQT","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</si>
  <si>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https://epsongroup-my.sharepoint.com/personal/brian_ramdhani_epson_co_id/Documents/Apps/Microsoft%20Forms/TAKATSU%20ANALYZE%20REPORT/Question/False%20Reject_Nazar%20Bagus%20H.%2034.PNG</t>
  </si>
  <si>
    <t>r5lnRDpW0Uem-NC2skiyecgAGIkS</t>
  </si>
  <si>
    <t>NOt NG</t>
  </si>
  <si>
    <t>Check CSIC Check in Line 10x OK</t>
  </si>
  <si>
    <t>AR250729103138</t>
  </si>
  <si>
    <t>RP250806080225</t>
  </si>
  <si>
    <t>X7EN006526</t>
  </si>
  <si>
    <t>During printing process, found NG DMAV on printing result</t>
  </si>
  <si>
    <t>[{"name":"DMAV_Muhammad Dzaki Taufi.jpg","link":"https://epsongroup-my.sharepoint.com/personal/brian_ramdhani_epson_co_id/Documents/Apps/Microsoft%20Forms/TAKATSU%20ANALYZE%20REPORT/Question/DMAV_Muhammad%20Dzaki%20Taufi.jpg","id":"01D6UVHSI6XAHTDVLW6ZDYY7LTLT2REC7U","type":null,"size":2840058,"referenceId":"01D6UVHSOX5DG5RX522VGYFCV365U3UBU3","driveId":"b!7qg8FsnQY0iiT36_x6Novv_3J9v4MtxPsytkCbb-ZPz3ScQFcxKeSqI2jw7AAtnZ","status":1,"uploadSessionUrl":null}]</t>
  </si>
  <si>
    <t>https://epsongroup-my.sharepoint.com/personal/brian_ramdhani_epson_co_id/Documents/Apps/Microsoft%20Forms/TAKATSU%20ANALYZE%20REPORT/Question/DMAV_Muhammad%20Dzaki%20Taufi.jpg</t>
  </si>
  <si>
    <t>iu4EWsogv0OgJ44DyDvy4sgABGfD</t>
  </si>
  <si>
    <t>Possibility any F/M or Bubble Inside PH or Electrical Inside PH NG</t>
  </si>
  <si>
    <t>Change New PH, Product Become OK (NG PH Return)</t>
  </si>
  <si>
    <t>AR250729114249</t>
  </si>
  <si>
    <t>RP250806081058</t>
  </si>
  <si>
    <t>X7FP006569</t>
  </si>
  <si>
    <t>During printing process, found NG Unstable Printing (UP)</t>
  </si>
  <si>
    <t>[{"name":"up_Muhammad Dzaki Taufi.jpg","link":"https://epsongroup-my.sharepoint.com/personal/brian_ramdhani_epson_co_id/Documents/Apps/Microsoft%20Forms/TAKATSU%20ANALYZE%20REPORT/Question/up_Muhammad%20Dzaki%20Taufi.jpg","id":"01D6UVHSPT2LIHSHYQLNCIUPXYB6O4DBKL","type":null,"size":1228812,"referenceId":"01D6UVHSOX5DG5RX522VGYFCV365U3UBU3","driveId":"b!7qg8FsnQY0iiT36_x6Novv_3J9v4MtxPsytkCbb-ZPz3ScQFcxKeSqI2jw7AAtnZ","status":1,"uploadSessionUrl":null}]</t>
  </si>
  <si>
    <t>https://epsongroup-my.sharepoint.com/personal/brian_ramdhani_epson_co_id/Documents/Apps/Microsoft%20Forms/TAKATSU%20ANALYZE%20REPORT/Question/up_Muhammad%20Dzaki%20Taufi.jpg</t>
  </si>
  <si>
    <t>zwAKcBpmaEu5tlnqoTu2icgALfxH</t>
  </si>
  <si>
    <t>Suspect F/M or Bubble or Electrical inside PH</t>
  </si>
  <si>
    <t>Change New PH Product Become OK (PH NG Return)</t>
  </si>
  <si>
    <t>AR250729120912</t>
  </si>
  <si>
    <t>RP250729025024</t>
  </si>
  <si>
    <t>X7EN006529</t>
  </si>
  <si>
    <t>Button Ha</t>
  </si>
  <si>
    <t>Button Hard to Push</t>
  </si>
  <si>
    <t>Panel NG</t>
  </si>
  <si>
    <t>Saat tekan bottom power, back feed, cut &amp; cut</t>
  </si>
  <si>
    <t>During Special Power On Mode, Operator Found need to push little bit harder to make in turn on</t>
  </si>
  <si>
    <t>[{"name":"False Reject_Nazar Bagus H. 35.PNG","link":"https://epsongroup-my.sharepoint.com/personal/brian_ramdhani_epson_co_id/Documents/Apps/Microsoft%20Forms/TAKATSU%20ANALYZE%20REPORT/Question/False%20Reject_Nazar%20Bagus%20H.%2035.PNG","id":"01D6UVHSL55LLSEVV4X5DLS3GPU3KVCQQT","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</si>
  <si>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https://epsongroup-my.sharepoint.com/personal/brian_ramdhani_epson_co_id/Documents/Apps/Microsoft%20Forms/TAKATSU%20ANALYZE%20REPORT/Question/False%20Reject_Nazar%20Bagus%20H.%2035.PNG</t>
  </si>
  <si>
    <t>c7-J_30JtUaJjRr3GZhpAsgAC2Aw</t>
  </si>
  <si>
    <t>Panel Function OK, but need to press harder</t>
  </si>
  <si>
    <t>Board Panel changed become OK</t>
  </si>
  <si>
    <t>AR250730094113</t>
  </si>
  <si>
    <t>RP250804080919</t>
  </si>
  <si>
    <t>X7EV001504</t>
  </si>
  <si>
    <t>TKSAL-023</t>
  </si>
  <si>
    <t>Printing Skew</t>
  </si>
  <si>
    <t>Saat print kertas terlibat</t>
  </si>
  <si>
    <t>During Paper Loading using Peeler, Operator found Paper skew</t>
  </si>
  <si>
    <t>[{"name":"False Reject_Nazar Bagus H. 36.PNG","link":"https://epsongroup-my.sharepoint.com/personal/brian_ramdhani_epson_co_id/Documents/Apps/Microsoft%20Forms/TAKATSU%20ANALYZE%20REPORT/Question/False%20Reject_Nazar%20Bagus%20H.%2036.PNG","id":"01D6UVHSMGDMN2SMUFV5G2C7PUWPSHLDP6","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</si>
  <si>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https://epsongroup-my.sharepoint.com/personal/brian_ramdhani_epson_co_id/Documents/Apps/Microsoft%20Forms/TAKATSU%20ANALYZE%20REPORT/Question/False%20Reject_Nazar%20Bagus%20H.%2036.PNG</t>
  </si>
  <si>
    <t>p6g3AXbbskqaJDBaiM5ytMgAGQJG</t>
  </si>
  <si>
    <t>Loading Initial Paper not Properly inserted into PGU</t>
  </si>
  <si>
    <t>Re Load Paper OK</t>
  </si>
  <si>
    <t>AR250730014522</t>
  </si>
  <si>
    <t>RP250804084132</t>
  </si>
  <si>
    <t>X7F4009101</t>
  </si>
  <si>
    <t>During CR Measurement, Found Result NG</t>
  </si>
  <si>
    <t>[{"name":"CR Measurement_Nazar Bagus H. 3.png","link":"https://epsongroup-my.sharepoint.com/personal/brian_ramdhani_epson_co_id/Documents/Apps/Microsoft%20Forms/TAKATSU%20ANALYZE%20REPORT/Question/CR%20Measurement_Nazar%20Bagus%20H.%203.png","id":"01D6UVHSKAMGCA7HNIUBHJDOALXDSPNSUK","type":null,"size":15976,"referenceId":"01D6UVHSOX5DG5RX522VGYFCV365U3UBU3","driveId":"b!7qg8FsnQY0iiT36_x6Novv_3J9v4MtxPsytkCbb-ZPz3ScQFcxKeSqI2jw7AAtnZ","status":1,"uploadSessionUrl":null}]</t>
  </si>
  <si>
    <t>https://epsongroup-my.sharepoint.com/personal/brian_ramdhani_epson_co_id/Documents/Apps/Microsoft%20Forms/TAKATSU%20ANALYZE%20REPORT/Question/CR%20Measurement_Nazar%20Bagus%20H.%203.png</t>
  </si>
  <si>
    <t>Zb3CN3z8m0qzooTKZLokbsgAP_UY</t>
  </si>
  <si>
    <t>Hole on Carrigae Char DK&amp;DS NG</t>
  </si>
  <si>
    <t>Use Lot Carriage other tha Lot July</t>
  </si>
  <si>
    <t>AR250801082827</t>
  </si>
  <si>
    <t>RP250801022738</t>
  </si>
  <si>
    <t>X7F4009315</t>
  </si>
  <si>
    <t>Jig 1</t>
  </si>
  <si>
    <t>During Printing Process, Found NG DMAV on Result Printing Nozzle</t>
  </si>
  <si>
    <t>[{"name":"False Reject_M. Dzaki_Muhammad Dzaki Taufi 7.png","link":"https://epsongroup-my.sharepoint.com/personal/brian_ramdhani_epson_co_id/Documents/Apps/Microsoft%20Forms/TAKATSU%20ANALYZE%20REPORT/Question/False%20Reject_M.%20Dzaki_Muhammad%20Dzaki%20Taufi%207.png","id":"01D6UVHSPOQ3AESUA7WJAJB7M2TZ5VKN4X","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</si>
  <si>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https://epsongroup-my.sharepoint.com/personal/brian_ramdhani_epson_co_id/Documents/Apps/Microsoft%20Forms/TAKATSU%20ANALYZE%20REPORT/Question/False%20Reject_M.%20Dzaki_Muhammad%20Dzaki%20Taufi%207.png</t>
  </si>
  <si>
    <t>ChG1FNHu90S0AiTcm_iYgMgAPe-0</t>
  </si>
  <si>
    <t>False Reject. After Wiping PH at Repair, Product Become OK (PH Recovery)</t>
  </si>
  <si>
    <t>Re Initial Charge, Result Printing OK</t>
  </si>
  <si>
    <t>AR250804080558</t>
  </si>
  <si>
    <t>RP250820082046</t>
  </si>
  <si>
    <t>X7FP006583</t>
  </si>
  <si>
    <t>Roller Le</t>
  </si>
  <si>
    <t>Roller Lever NG</t>
  </si>
  <si>
    <t>Roler lever ng</t>
  </si>
  <si>
    <t>Proses initial setting : printer initialize</t>
  </si>
  <si>
    <t>During initial setting, found roller lever on release unit NG</t>
  </si>
  <si>
    <t>[{"name":"Roller Lever NG_Nazar Bagus H..png","link":"https://epsongroup-my.sharepoint.com/personal/brian_ramdhani_epson_co_id/Documents/Apps/Microsoft%20Forms/TAKATSU%20ANALYZE%20REPORT/Question/Roller%20Lever%20NG_Nazar%20Bagus%20H..png","id":"01D6UVHSNN3XLXEC2U6ZBKVNPCSMEYZAA7","type":null,"size":480650,"referenceId":"01D6UVHSOX5DG5RX522VGYFCV365U3UBU3","driveId":"b!7qg8FsnQY0iiT36_x6Novv_3J9v4MtxPsytkCbb-ZPz3ScQFcxKeSqI2jw7AAtnZ","status":1,"uploadSessionUrl":null}]</t>
  </si>
  <si>
    <t>https://epsongroup-my.sharepoint.com/personal/brian_ramdhani_epson_co_id/Documents/Apps/Microsoft%20Forms/TAKATSU%20ANALYZE%20REPORT/Question/Roller%20Lever%20NG_Nazar%20Bagus%20H..png</t>
  </si>
  <si>
    <t>S1bEyugo2UOJk5HbmZBelsgAGU_r</t>
  </si>
  <si>
    <t>Lever Sensor NG</t>
  </si>
  <si>
    <t>Change Lever Sensor NG</t>
  </si>
  <si>
    <t>AR250804102809</t>
  </si>
  <si>
    <t>RP250822034104</t>
  </si>
  <si>
    <t>X7FP006591</t>
  </si>
  <si>
    <t>During Check Result Printing, Found NG DO on Nozzle Check Print Result</t>
  </si>
  <si>
    <t>[{"name":"DO 2nd TRIAL_Muhammad Dzaki Taufi.png","link":"https://epsongroup-my.sharepoint.com/personal/brian_ramdhani_epson_co_id/Documents/Apps/Microsoft%20Forms/TAKATSU%20ANALYZE%20REPORT/Question/DO%202nd%20TRIAL_Muhammad%20Dzaki%20Taufi.png","id":"01D6UVHSJNAJTSE7QP2RGJKKDLUYKNTXUR","type":null,"size":1932707,"referenceId":"01D6UVHSOX5DG5RX522VGYFCV365U3UBU3","driveId":"b!7qg8FsnQY0iiT36_x6Novv_3J9v4MtxPsytkCbb-ZPz3ScQFcxKeSqI2jw7AAtnZ","status":1,"uploadSessionUrl":null}]</t>
  </si>
  <si>
    <t>https://epsongroup-my.sharepoint.com/personal/brian_ramdhani_epson_co_id/Documents/Apps/Microsoft%20Forms/TAKATSU%20ANALYZE%20REPORT/Question/DO%202nd%20TRIAL_Muhammad%20Dzaki%20Taufi.png</t>
  </si>
  <si>
    <t>N9itD5WyGkiMw6QJOnxCZ8gAFH-3</t>
  </si>
  <si>
    <t>Suspect F/M or Bubble or Electrical inside PH (NVT Rank &amp; Check NG)</t>
  </si>
  <si>
    <t xml:space="preserve">Change New PH, Product Become OK (NG PH still keep at MA) </t>
  </si>
  <si>
    <t>AR250804022347</t>
  </si>
  <si>
    <t>RP250923030951</t>
  </si>
  <si>
    <t>X7FP006607</t>
  </si>
  <si>
    <t>MA05-Print Head 1</t>
  </si>
  <si>
    <t>PH after wipping</t>
  </si>
  <si>
    <t>During Initial Printing Process, Found NG DO on Nozzle Result Check</t>
  </si>
  <si>
    <t>[{"name":"DO 4 aug_Muhammad Dzaki Taufi.png","link":"https://epsongroup-my.sharepoint.com/personal/brian_ramdhani_epson_co_id/Documents/Apps/Microsoft%20Forms/TAKATSU%20ANALYZE%20REPORT/Question/DO%204%20aug_Muhammad%20Dzaki%20Taufi.png","id":"01D6UVHSKS35GFNCHFPVBIMO5C6DOV3TEH","type":null,"size":1658897,"referenceId":"01D6UVHSOX5DG5RX522VGYFCV365U3UBU3","driveId":"b!7qg8FsnQY0iiT36_x6Novv_3J9v4MtxPsytkCbb-ZPz3ScQFcxKeSqI2jw7AAtnZ","status":1,"uploadSessionUrl":null}]</t>
  </si>
  <si>
    <t>https://epsongroup-my.sharepoint.com/personal/brian_ramdhani_epson_co_id/Documents/Apps/Microsoft%20Forms/TAKATSU%20ANALYZE%20REPORT/Question/DO%204%20aug_Muhammad%20Dzaki%20Taufi.png</t>
  </si>
  <si>
    <t>yvWdUdmur0ispeTSWuOSssgAECaW</t>
  </si>
  <si>
    <t>Change new PH become OK</t>
  </si>
  <si>
    <t>AR250805012123</t>
  </si>
  <si>
    <t>RP250923032611</t>
  </si>
  <si>
    <t>X7ER001238</t>
  </si>
  <si>
    <t xml:space="preserve">Jig 07 (after wipping) </t>
  </si>
  <si>
    <t xml:space="preserve">During Initial Printing Process, Found NG Unstable Printing on Nozzle Check Result </t>
  </si>
  <si>
    <t>[{"name":"UP 5 AUG_Muhammad Dzaki Taufi.png","link":"https://epsongroup-my.sharepoint.com/personal/brian_ramdhani_epson_co_id/Documents/Apps/Microsoft%20Forms/TAKATSU%20ANALYZE%20REPORT/Question/UP%205%20AUG_Muhammad%20Dzaki%20Taufi.png","id":"01D6UVHSPXKVATKKOJG5H2KBTHJYJZKEMZ","type":null,"size":1828628,"referenceId":"01D6UVHSOX5DG5RX522VGYFCV365U3UBU3","driveId":"b!7qg8FsnQY0iiT36_x6Novv_3J9v4MtxPsytkCbb-ZPz3ScQFcxKeSqI2jw7AAtnZ","status":1,"uploadSessionUrl":null}]</t>
  </si>
  <si>
    <t>https://epsongroup-my.sharepoint.com/personal/brian_ramdhani_epson_co_id/Documents/Apps/Microsoft%20Forms/TAKATSU%20ANALYZE%20REPORT/Question/UP%205%20AUG_Muhammad%20Dzaki%20Taufi.png</t>
  </si>
  <si>
    <t>QfQ1zzL_5kStFiLhaUEapMgAGxGh</t>
  </si>
  <si>
    <t>Change New PH, Product Become OK</t>
  </si>
  <si>
    <t>AR250806103048</t>
  </si>
  <si>
    <t>RP250814093945</t>
  </si>
  <si>
    <t>X7EV001709</t>
  </si>
  <si>
    <t>TKSAL-004</t>
  </si>
  <si>
    <t>Movable unflexible</t>
  </si>
  <si>
    <t>Re Assy plate paper widht</t>
  </si>
  <si>
    <t>During PGU Check, Found Paper Guide Plate Unflexible</t>
  </si>
  <si>
    <t>[{"name":"Unflexible_Nazar Bagus H..png","link":"https://epsongroup-my.sharepoint.com/personal/brian_ramdhani_epson_co_id/Documents/Apps/Microsoft%20Forms/TAKATSU%20ANALYZE%20REPORT/Question/Unflexible_Nazar%20Bagus%20H..png","id":"01D6UVHSLOQXCPYJC6M5EJXOBGDPULSEC2","type":null,"size":627560,"referenceId":"01D6UVHSOX5DG5RX522VGYFCV365U3UBU3","driveId":"b!7qg8FsnQY0iiT36_x6Novv_3J9v4MtxPsytkCbb-ZPz3ScQFcxKeSqI2jw7AAtnZ","status":1,"uploadSessionUrl":null}]</t>
  </si>
  <si>
    <t>https://epsongroup-my.sharepoint.com/personal/brian_ramdhani_epson_co_id/Documents/Apps/Microsoft%20Forms/TAKATSU%20ANALYZE%20REPORT/Question/Unflexible_Nazar%20Bagus%20H..png</t>
  </si>
  <si>
    <t>UH_WHaXz7UylZgmBqzB1S8gAGlbU</t>
  </si>
  <si>
    <t>RE Assembly OK</t>
  </si>
  <si>
    <t>AR250806025819</t>
  </si>
  <si>
    <t>RP250812084157</t>
  </si>
  <si>
    <t>X7F4009345</t>
  </si>
  <si>
    <t>TKSAL-026</t>
  </si>
  <si>
    <t>During Initial Charge, found small Smear Print on Paper</t>
  </si>
  <si>
    <t>[{"name":"False Reject_Nazar Bagus H. 37.PNG","link":"https://epsongroup-my.sharepoint.com/personal/brian_ramdhani_epson_co_id/Documents/Apps/Microsoft%20Forms/TAKATSU%20ANALYZE%20REPORT/Question/False%20Reject_Nazar%20Bagus%20H.%2037.PNG","id":"01D6UVHSO6EE4BAFDEZRCIGUAFC4QJBZYF","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</si>
  <si>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https://epsongroup-my.sharepoint.com/personal/brian_ramdhani_epson_co_id/Documents/Apps/Microsoft%20Forms/TAKATSU%20ANALYZE%20REPORT/Question/False%20Reject_Nazar%20Bagus%20H.%2037.PNG</t>
  </si>
  <si>
    <t>CrJd4arYZEWNdJWdgBlVM8gAAG5S</t>
  </si>
  <si>
    <t>Nt NG</t>
  </si>
  <si>
    <t>Cleaning any excess ink on mechanism. then try to do Ink Charge. Not Found any smear along printing process</t>
  </si>
  <si>
    <t>AR250807105222</t>
  </si>
  <si>
    <t>RP250818083818</t>
  </si>
  <si>
    <t>XE5X000143</t>
  </si>
  <si>
    <t>Roller Lever Sensor NG</t>
  </si>
  <si>
    <t>Roller lever ng</t>
  </si>
  <si>
    <t xml:space="preserve">During Initial Setting, Found Sensor Roller Lever NG. </t>
  </si>
  <si>
    <t>[{"name":"False Reject_Nazar Bagus H. 40.PNG","link":"https://epsongroup-my.sharepoint.com/personal/brian_ramdhani_epson_co_id/Documents/Apps/Microsoft%20Forms/TAKATSU%20ANALYZE%20REPORT/Question/False%20Reject_Nazar%20Bagus%20H.%2040.PNG","id":"01D6UVHSPV3PXYN7IUGBFJNAOFZPRR7QEC","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</si>
  <si>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https://epsongroup-my.sharepoint.com/personal/brian_ramdhani_epson_co_id/Documents/Apps/Microsoft%20Forms/TAKATSU%20ANALYZE%20REPORT/Question/False%20Reject_Nazar%20Bagus%20H.%2040.PNG</t>
  </si>
  <si>
    <t>3847tys4CUqkxAQGldoWysgAERlR</t>
  </si>
  <si>
    <t>missing phenomenon</t>
  </si>
  <si>
    <t>After Re-check and re-assy Harness, Product become OK after 10x Check</t>
  </si>
  <si>
    <t>AR250807023410</t>
  </si>
  <si>
    <t>RP250811092736</t>
  </si>
  <si>
    <t>XE5X000157</t>
  </si>
  <si>
    <t>Ic not regconize</t>
  </si>
  <si>
    <t>During initialization Power ON</t>
  </si>
  <si>
    <t>During Initialization Power On, Appear NG Can't Recognize I/C</t>
  </si>
  <si>
    <t>[{"name":"INK CATRIDGE NOT RECOGNIZE_Muhammad Dzaki Taufi.png","link":"https://epsongroup-my.sharepoint.com/personal/brian_ramdhani_epson_co_id/Documents/Apps/Microsoft%20Forms/TAKATSU%20ANALYZE%20REPORT/Question/INK%20CATRIDGE%20NOT%20RECOGNIZE_Muhammad%20Dzaki%20Taufi.png","id":"01D6UVHSNU4UNRZGSG7FBIUYZXLTEP3SAG","type":null,"size":212624,"referenceId":"01D6UVHSOX5DG5RX522VGYFCV365U3UBU3","driveId":"b!7qg8FsnQY0iiT36_x6Novv_3J9v4MtxPsytkCbb-ZPz3ScQFcxKeSqI2jw7AAtnZ","status":1,"uploadSessionUrl":null}]</t>
  </si>
  <si>
    <t>https://epsongroup-my.sharepoint.com/personal/brian_ramdhani_epson_co_id/Documents/Apps/Microsoft%20Forms/TAKATSU%20ANALYZE%20REPORT/Question/INK%20CATRIDGE%20NOT%20RECOGNIZE_Muhammad%20Dzaki%20Taufi.png</t>
  </si>
  <si>
    <t>xntbgeK_bU2-hwYCZPQWpMgABp37</t>
  </si>
  <si>
    <t>BOARD CRCM NG</t>
  </si>
  <si>
    <t>Change BOARD CRCM, Product Become OK</t>
  </si>
  <si>
    <t>AR250808125711</t>
  </si>
  <si>
    <t>RP250812093019</t>
  </si>
  <si>
    <t>X7EN006732</t>
  </si>
  <si>
    <t>During Initial Power On, Auto Cutter Moving without control. then appear Paper Jam</t>
  </si>
  <si>
    <t>[{"name":"Paper Jam 2_Nazar Bagus H..jpg","link":"https://epsongroup-my.sharepoint.com/personal/brian_ramdhani_epson_co_id/Documents/Apps/Microsoft%20Forms/TAKATSU%20ANALYZE%20REPORT/Question/Paper%20Jam%202_Nazar%20Bagus%20H..jpg","id":"01D6UVHSNSLOKTQJUSHBCI6H5FBWDSTN57","type":null,"size":188152,"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</si>
  <si>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https://epsongroup-my.sharepoint.com/personal/brian_ramdhani_epson_co_id/Documents/Apps/Microsoft%20Forms/TAKATSU%20ANALYZE%20REPORT/Question/Paper%20Jam%202_Nazar%20Bagus%20H..jpg</t>
  </si>
  <si>
    <t>q3sw2REL0UKXu2YudDR8A8gALCGD</t>
  </si>
  <si>
    <t>LEver Sensor on Auto Cutter NG</t>
  </si>
  <si>
    <t>Change Lever Sensor OK</t>
  </si>
  <si>
    <t>AR250811023043</t>
  </si>
  <si>
    <t>RP250811035728</t>
  </si>
  <si>
    <t>X7FP006645</t>
  </si>
  <si>
    <t>TKSAL-022</t>
  </si>
  <si>
    <t>Noise carriage</t>
  </si>
  <si>
    <t xml:space="preserve">Jig 03 </t>
  </si>
  <si>
    <t>During Printing Process, Heard Little Noise around Carriage</t>
  </si>
  <si>
    <t>[{"name":"False Reject_M. Dzaki_Muhammad Dzaki Taufi 9.png","link":"https://epsongroup-my.sharepoint.com/personal/brian_ramdhani_epson_co_id/Documents/Apps/Microsoft%20Forms/TAKATSU%20ANALYZE%20REPORT/Question/False%20Reject_M.%20Dzaki_Muhammad%20Dzaki%20Taufi%209.png","id":"01D6UVHSPZPNS5DYP4HJBZADEXV2LLFZ2P","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</si>
  <si>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https://epsongroup-my.sharepoint.com/personal/brian_ramdhani_epson_co_id/Documents/Apps/Microsoft%20Forms/TAKATSU%20ANALYZE%20REPORT/Question/False%20Reject_M.%20Dzaki_Muhammad%20Dzaki%20Taufi%209.png</t>
  </si>
  <si>
    <t>l0kblABgoU2DNUFPGoc5LcgAAaoi</t>
  </si>
  <si>
    <t>Noise not identified as Abnormality. Re-Confirm in Line 10x OK</t>
  </si>
  <si>
    <t>AR250812094514</t>
  </si>
  <si>
    <t>RP250814075012</t>
  </si>
  <si>
    <t>X7ER001257</t>
  </si>
  <si>
    <t xml:space="preserve">Air leak check ng (yellow) </t>
  </si>
  <si>
    <t>During Air Check Inspection. Found Result Inspection NG</t>
  </si>
  <si>
    <t>[{"name":"Seal Supply Unit Not NG_Nazar Bagus H..jpg","link":"https://epsongroup-my.sharepoint.com/personal/brian_ramdhani_epson_co_id/Documents/Apps/Microsoft%20Forms/TAKATSU%20ANALYZE%20REPORT/Question/Seal%20Supply%20Unit%20Not%20NG_Nazar%20Bagus%20H..jpg","id":"01D6UVHSL25TEOUUU4FBFZGCGVD6UYLLNI","type":null,"size":62938,"referenceId":"01D6UVHSOX5DG5RX522VGYFCV365U3UBU3","driveId":"b!7qg8FsnQY0iiT36_x6Novv_3J9v4MtxPsytkCbb-ZPz3ScQFcxKeSqI2jw7AAtnZ","status":1,"uploadSessionUrl":null}]</t>
  </si>
  <si>
    <t>https://epsongroup-my.sharepoint.com/personal/brian_ramdhani_epson_co_id/Documents/Apps/Microsoft%20Forms/TAKATSU%20ANALYZE%20REPORT/Question/Seal%20Supply%20Unit%20Not%20NG_Nazar%20Bagus%20H..jpg</t>
  </si>
  <si>
    <t>TJPVnfdAoUeII3_SjzzUasgAKBub</t>
  </si>
  <si>
    <t>Seal on Supply Unit not Assembled</t>
  </si>
  <si>
    <t>Change Supply Unit OK, Genba Proses in Line</t>
  </si>
  <si>
    <t>AR250815081307</t>
  </si>
  <si>
    <t>RP250815024448</t>
  </si>
  <si>
    <t>X7EN006757</t>
  </si>
  <si>
    <t>During Discharge Inspection</t>
  </si>
  <si>
    <t>Saat proses pengecekan sensor</t>
  </si>
  <si>
    <t>During Initial Power On, Heard small noise</t>
  </si>
  <si>
    <t>[{"name":"False Reject_Nazar Bagus H. 39.PNG","link":"https://epsongroup-my.sharepoint.com/personal/brian_ramdhani_epson_co_id/Documents/Apps/Microsoft%20Forms/TAKATSU%20ANALYZE%20REPORT/Question/False%20Reject_Nazar%20Bagus%20H.%2039.PNG","id":"01D6UVHSONEFFS43ZUCVHYNIYCBQP5DARE","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</si>
  <si>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https://epsongroup-my.sharepoint.com/personal/brian_ramdhani_epson_co_id/Documents/Apps/Microsoft%20Forms/TAKATSU%20ANALYZE%20REPORT/Question/False%20Reject_Nazar%20Bagus%20H.%2039.PNG</t>
  </si>
  <si>
    <t>DC6vHWdzpUa48N8qGKur0cgANzd2</t>
  </si>
  <si>
    <t>Operator Over Jufgement</t>
  </si>
  <si>
    <t>Re-Check and compare with other Product are still OK</t>
  </si>
  <si>
    <t>AR250815082827</t>
  </si>
  <si>
    <t>RP250815024000</t>
  </si>
  <si>
    <t>X7EN006772</t>
  </si>
  <si>
    <t xml:space="preserve">Air leak chek ng (CY) </t>
  </si>
  <si>
    <t>Saat proses, air leak</t>
  </si>
  <si>
    <t>During Air Leak Check, FOund Color Cyan NG</t>
  </si>
  <si>
    <t>[{"name":"Air Leak_Nazar Bagus H..png","link":"https://epsongroup-my.sharepoint.com/personal/brian_ramdhani_epson_co_id/Documents/Apps/Microsoft%20Forms/TAKATSU%20ANALYZE%20REPORT/Question/Air%20Leak_Nazar%20Bagus%20H..png","id":"01D6UVHSMYDBBFJJFSOZGZBPD6APGHJ5ND","type":null,"size":57720,"referenceId":"01D6UVHSOX5DG5RX522VGYFCV365U3UBU3","driveId":"b!7qg8FsnQY0iiT36_x6Novv_3J9v4MtxPsytkCbb-ZPz3ScQFcxKeSqI2jw7AAtnZ","status":1,"uploadSessionUrl":null}]</t>
  </si>
  <si>
    <t>https://epsongroup-my.sharepoint.com/personal/brian_ramdhani_epson_co_id/Documents/Apps/Microsoft%20Forms/TAKATSU%20ANALYZE%20REPORT/Question/Air%20Leak_Nazar%20Bagus%20H..png</t>
  </si>
  <si>
    <t>N4WHQ4XZGUqw7r53aN2Dc8gAAtMf</t>
  </si>
  <si>
    <t xml:space="preserve">Possibility Seal I/C </t>
  </si>
  <si>
    <t>Change Seal Dummy I/C</t>
  </si>
  <si>
    <t>AR250815083940</t>
  </si>
  <si>
    <t>RP250815103737</t>
  </si>
  <si>
    <t>X7EN006765</t>
  </si>
  <si>
    <t>During Ink Discharge</t>
  </si>
  <si>
    <t>Saat mulai proses discharge</t>
  </si>
  <si>
    <t>During Ink Discharge, MAchine become unstable then Ink End Sensor NG</t>
  </si>
  <si>
    <t>[{"name":"False Reject_Nazar Bagus H. 38.PNG","link":"https://epsongroup-my.sharepoint.com/personal/brian_ramdhani_epson_co_id/Documents/Apps/Microsoft%20Forms/TAKATSU%20ANALYZE%20REPORT/Question/False%20Reject_Nazar%20Bagus%20H.%2038.PNG","id":"01D6UVHSLWIPAPRWR6VBGJ6PKEKWZHQHGD","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</si>
  <si>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https://epsongroup-my.sharepoint.com/personal/brian_ramdhani_epson_co_id/Documents/Apps/Microsoft%20Forms/TAKATSU%20ANALYZE%20REPORT/Question/False%20Reject_Nazar%20Bagus%20H.%2038.PNG</t>
  </si>
  <si>
    <t>yHKhG70MBUuBajxpk8II8cgAK8Bn</t>
  </si>
  <si>
    <t>After Machine more stable, re-Ink DIscharge then check 10x OK</t>
  </si>
  <si>
    <t>AR250815014838</t>
  </si>
  <si>
    <t>RP250820083535</t>
  </si>
  <si>
    <t>X7EN006768</t>
  </si>
  <si>
    <t>Found CSIC MT Box cannot be detected during CSIC Check on Inspection Mode</t>
  </si>
  <si>
    <t>[{"name":"CSIC NG_Nazar Bagus H..jpg","link":"https://epsongroup-my.sharepoint.com/personal/brian_ramdhani_epson_co_id/Documents/Apps/Microsoft%20Forms/TAKATSU%20ANALYZE%20REPORT/Question/CSIC%20NG_Nazar%20Bagus%20H..jpg","id":"01D6UVHSNXJ6ETQDARPNFKJJCMG4U4QO2S","type":null,"size":86003,"referenceId":"01D6UVHSOX5DG5RX522VGYFCV365U3UBU3","driveId":"b!7qg8FsnQY0iiT36_x6Novv_3J9v4MtxPsytkCbb-ZPz3ScQFcxKeSqI2jw7AAtnZ","status":1,"uploadSessionUrl":null}]</t>
  </si>
  <si>
    <t>https://epsongroup-my.sharepoint.com/personal/brian_ramdhani_epson_co_id/Documents/Apps/Microsoft%20Forms/TAKATSU%20ANALYZE%20REPORT/Question/CSIC%20NG_Nazar%20Bagus%20H..jpg</t>
  </si>
  <si>
    <t>ZDwc72ASdEKvddJs1fIeh8gAKzdM</t>
  </si>
  <si>
    <t>Re check using Dummy Mtc Box then Check Again 10x OK Permanent</t>
  </si>
  <si>
    <t>AR250815022912</t>
  </si>
  <si>
    <t>RP250818033255</t>
  </si>
  <si>
    <t>X7ES000279</t>
  </si>
  <si>
    <t xml:space="preserve"> During Check Result Printing</t>
  </si>
  <si>
    <t>During Printing process, Found NG UP on Nozzle Print Result</t>
  </si>
  <si>
    <t>[{"name":"NG UP_Muhammad Dzaki Taufi.png","link":"https://epsongroup-my.sharepoint.com/personal/brian_ramdhani_epson_co_id/Documents/Apps/Microsoft%20Forms/TAKATSU%20ANALYZE%20REPORT/Question/NG%20UP_Muhammad%20Dzaki%20Taufi.png","id":"01D6UVHSJCJV5CW434QJC3ZEBB4OPASPHW","type":null,"size":1776247,"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</si>
  <si>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https://epsongroup-my.sharepoint.com/personal/brian_ramdhani_epson_co_id/Documents/Apps/Microsoft%20Forms/TAKATSU%20ANALYZE%20REPORT/Question/NG%20UP_Muhammad%20Dzaki%20Taufi.png</t>
  </si>
  <si>
    <t>Ij1BLms-Gk2D6falBWBs98gADZBN</t>
  </si>
  <si>
    <t>Change new PH, product become OK (NG PH still keep at MA)</t>
  </si>
  <si>
    <t>AR250815040720</t>
  </si>
  <si>
    <t>RP250819094252</t>
  </si>
  <si>
    <t>X7FQ009531</t>
  </si>
  <si>
    <t xml:space="preserve">Air leak chek ng </t>
  </si>
  <si>
    <t>Saat proses Air leak chek</t>
  </si>
  <si>
    <t>During Air Leak Check, Found Ink End Sensor NG</t>
  </si>
  <si>
    <t>[{"name":"IES NG_Nazar Bagus H..jpg","link":"https://epsongroup-my.sharepoint.com/personal/brian_ramdhani_epson_co_id/Documents/Apps/Microsoft%20Forms/TAKATSU%20ANALYZE%20REPORT/Question/IES%20NG_Nazar%20Bagus%20H..jpg","id":"01D6UVHSM42RYI5ONEFZB2FYKCXZXWO674","type":null,"size":245004,"referenceId":"01D6UVHSOX5DG5RX522VGYFCV365U3UBU3","driveId":"b!7qg8FsnQY0iiT36_x6Novv_3J9v4MtxPsytkCbb-ZPz3ScQFcxKeSqI2jw7AAtnZ","status":1,"uploadSessionUrl":null}]</t>
  </si>
  <si>
    <t>https://epsongroup-my.sharepoint.com/personal/brian_ramdhani_epson_co_id/Documents/Apps/Microsoft%20Forms/TAKATSU%20ANALYZE%20REPORT/Question/IES%20NG_Nazar%20Bagus%20H..jpg</t>
  </si>
  <si>
    <t>gtmKpIQDxkqBuDWIsg5iNcgAFd6_</t>
  </si>
  <si>
    <t>Still need to be analyzed</t>
  </si>
  <si>
    <t>Change IH Unit OK</t>
  </si>
  <si>
    <t>AR250818110336</t>
  </si>
  <si>
    <t>RP250819103755</t>
  </si>
  <si>
    <t>X7FQ009549</t>
  </si>
  <si>
    <t>Air leak check ng</t>
  </si>
  <si>
    <t>During Air Leak Check Inspection, found Result NG</t>
  </si>
  <si>
    <t>[{"name":"Air Leak_Nazar Bagus H. 1.png","link":"https://epsongroup-my.sharepoint.com/personal/brian_ramdhani_epson_co_id/Documents/Apps/Microsoft%20Forms/TAKATSU%20ANALYZE%20REPORT/Question/Air%20Leak_Nazar%20Bagus%20H.%201.png","id":"01D6UVHSJPOEZPFHBSABBKQAYUV6BR7AWT","type":null,"size":57720,"referenceId":"01D6UVHSOX5DG5RX522VGYFCV365U3UBU3","driveId":"b!7qg8FsnQY0iiT36_x6Novv_3J9v4MtxPsytkCbb-ZPz3ScQFcxKeSqI2jw7AAtnZ","status":1,"uploadSessionUrl":null}]</t>
  </si>
  <si>
    <t>https://epsongroup-my.sharepoint.com/personal/brian_ramdhani_epson_co_id/Documents/Apps/Microsoft%20Forms/TAKATSU%20ANALYZE%20REPORT/Question/Air%20Leak_Nazar%20Bagus%20H.%201.png</t>
  </si>
  <si>
    <t>uvsxbvQ0M0SKwMCcX5xcgMgAD3mz</t>
  </si>
  <si>
    <t>Seal on Supply Unit are not assembled</t>
  </si>
  <si>
    <t>Change Supply Unit become OK</t>
  </si>
  <si>
    <t>AR250819074813</t>
  </si>
  <si>
    <t>RP250821090631</t>
  </si>
  <si>
    <t>X7FQ009551</t>
  </si>
  <si>
    <t>During Printing Paper Calibration, Heard Abnormal Noise around Platen Unit</t>
  </si>
  <si>
    <t>[{"name":"Abnormla Noise_Nazar Bagus H..png","link":"https://epsongroup-my.sharepoint.com/personal/brian_ramdhani_epson_co_id/Documents/Apps/Microsoft%20Forms/TAKATSU%20ANALYZE%20REPORT/Question/Abnormla%20Noise_Nazar%20Bagus%20H..png","id":"01D6UVHSPMIL7BW4WUZRH3IDO7PESRRHEI","type":null,"size":27233,"referenceId":"01D6UVHSOX5DG5RX522VGYFCV365U3UBU3","driveId":"b!7qg8FsnQY0iiT36_x6Novv_3J9v4MtxPsytkCbb-ZPz3ScQFcxKeSqI2jw7AAtnZ","status":1,"uploadSessionUrl":null}]</t>
  </si>
  <si>
    <t>https://epsongroup-my.sharepoint.com/personal/brian_ramdhani_epson_co_id/Documents/Apps/Microsoft%20Forms/TAKATSU%20ANALYZE%20REPORT/Question/Abnormla%20Noise_Nazar%20Bagus%20H..png</t>
  </si>
  <si>
    <t>V7PEE1eLw0OVscQ1W53Gn8gAAzR3</t>
  </si>
  <si>
    <t>Platen Fan Unit have Unbalance Impeller</t>
  </si>
  <si>
    <t>Change Platen Fan Unit OK</t>
  </si>
  <si>
    <t>AR250819011854</t>
  </si>
  <si>
    <t>RP250820104011</t>
  </si>
  <si>
    <t>X7F7001047</t>
  </si>
  <si>
    <t>Saat proses head incline</t>
  </si>
  <si>
    <t>During Initial Paper Load, Paper got stuck on Plate Platen and appear Paper Jam</t>
  </si>
  <si>
    <t>[{"name":"Paper Jam 2_Nazar Bagus H. 1.jpg","link":"https://epsongroup-my.sharepoint.com/personal/brian_ramdhani_epson_co_id/Documents/Apps/Microsoft%20Forms/TAKATSU%20ANALYZE%20REPORT/Question/Paper%20Jam%202_Nazar%20Bagus%20H.%201.jpg","id":"01D6UVHSPDUWFULE7ATREID6KSSVX5OUT2","type":null,"size":188152,"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</si>
  <si>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https://epsongroup-my.sharepoint.com/personal/brian_ramdhani_epson_co_id/Documents/Apps/Microsoft%20Forms/TAKATSU%20ANALYZE%20REPORT/Question/Paper%20Jam%202_Nazar%20Bagus%20H.%201.jpg</t>
  </si>
  <si>
    <t>rJZx06tKCUiiN6Rsp-1DvsgAAz-L</t>
  </si>
  <si>
    <t>Change Plate Platen OK</t>
  </si>
  <si>
    <t>AR250820014847</t>
  </si>
  <si>
    <t>RP250822012933</t>
  </si>
  <si>
    <t>X7F7001078</t>
  </si>
  <si>
    <t>During Air Leak Inspection Check, Found Air Leak Value NG</t>
  </si>
  <si>
    <t>[{"name":"Air Leak_Nazar Bagus H. 2.png","link":"https://epsongroup-my.sharepoint.com/personal/brian_ramdhani_epson_co_id/Documents/Apps/Microsoft%20Forms/TAKATSU%20ANALYZE%20REPORT/Question/Air%20Leak_Nazar%20Bagus%20H.%202.png","id":"01D6UVHSLJXVVISDPLDNE3NUFG34U7N6S6","type":null,"size":57720,"referenceId":"01D6UVHSOX5DG5RX522VGYFCV365U3UBU3","driveId":"b!7qg8FsnQY0iiT36_x6Novv_3J9v4MtxPsytkCbb-ZPz3ScQFcxKeSqI2jw7AAtnZ","status":1,"uploadSessionUrl":null}]</t>
  </si>
  <si>
    <t>https://epsongroup-my.sharepoint.com/personal/brian_ramdhani_epson_co_id/Documents/Apps/Microsoft%20Forms/TAKATSU%20ANALYZE%20REPORT/Question/Air%20Leak_Nazar%20Bagus%20H.%202.png</t>
  </si>
  <si>
    <t>93qxoM8MxEyNyTzcnazz7sgAKOf1</t>
  </si>
  <si>
    <t>Rubber Seal on Supply Unit not Assembled</t>
  </si>
  <si>
    <t>Change Supply Unit in Line OK. Feedback to I/S Eng and SEC why machine cannot detect</t>
  </si>
  <si>
    <t>AR250822083858</t>
  </si>
  <si>
    <t>RP250828024000</t>
  </si>
  <si>
    <t>X7EN006778</t>
  </si>
  <si>
    <t>Connection NG</t>
  </si>
  <si>
    <t>During Special Power ON Mode, Found Product not Turn ON</t>
  </si>
  <si>
    <t>[{"name":"Picture2_Muhammad Dzaki Taufi.png","link":"https://epsongroup-my.sharepoint.com/personal/brian_ramdhani_epson_co_id/Documents/Apps/Microsoft%20Forms/TAKATSU%20ANALYZE%20REPORT/Question/Picture2_Muhammad%20Dzaki%20Taufi.png","id":"01D6UVHSJIMK5SO4AMURDKYRUKOGH6JNDU","type":null,"size":2919257,"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</si>
  <si>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https://epsongroup-my.sharepoint.com/personal/brian_ramdhani_epson_co_id/Documents/Apps/Microsoft%20Forms/TAKATSU%20ANALYZE%20REPORT/Question/Picture2_Muhammad%20Dzaki%20Taufi.png</t>
  </si>
  <si>
    <t>4QeKM-yzOEqibFkGRrNtL8gAF-jO</t>
  </si>
  <si>
    <t>BOARD ASSY.,PROG not Full Insert</t>
  </si>
  <si>
    <t>Re Assy BOARD ASSY.,PROG, product become OK</t>
  </si>
  <si>
    <t>AR250822012129</t>
  </si>
  <si>
    <t>RP250909084001</t>
  </si>
  <si>
    <t>XE5X000195</t>
  </si>
  <si>
    <t>Louding kertas seret</t>
  </si>
  <si>
    <t>During Initial Paper Loading, Found Paper Stuck on Release Unit Area</t>
  </si>
  <si>
    <t>[{"name":"E-Ring on Release_Nazar Bagus H..png","link":"https://epsongroup-my.sharepoint.com/personal/brian_ramdhani_epson_co_id/Documents/Apps/Microsoft%20Forms/TAKATSU%20ANALYZE%20REPORT/Question/E-Ring%20on%20Release_Nazar%20Bagus%20H..png","id":"01D6UVHSI64CSWX3VBSVBKAYTYORTK44XK","type":null,"size":196587,"referenceId":"01D6UVHSOX5DG5RX522VGYFCV365U3UBU3","driveId":"b!7qg8FsnQY0iiT36_x6Novv_3J9v4MtxPsytkCbb-ZPz3ScQFcxKeSqI2jw7AAtnZ","status":1,"uploadSessionUrl":null}]</t>
  </si>
  <si>
    <t>https://epsongroup-my.sharepoint.com/personal/brian_ramdhani_epson_co_id/Documents/Apps/Microsoft%20Forms/TAKATSU%20ANALYZE%20REPORT/Question/E-Ring%20on%20Release_Nazar%20Bagus%20H..png</t>
  </si>
  <si>
    <t>4KWnCcI27UuBt_S84-jbgMgAL2a7</t>
  </si>
  <si>
    <t>Any E-Ring Left on Release Unit</t>
  </si>
  <si>
    <t>Remove E Ring Become OK. Rework Release Unit on WIP.</t>
  </si>
  <si>
    <t>AR250825093711</t>
  </si>
  <si>
    <t>RP250825014646</t>
  </si>
  <si>
    <t>X7EN006817</t>
  </si>
  <si>
    <t>During Shutter Inspection Check at PG Stage</t>
  </si>
  <si>
    <t>During Shutter Inspection Check at PG Stage, found Noise [Tek tek tek, when gear platen rotation]</t>
  </si>
  <si>
    <t>[{"name":"Shutter Check Noise_Zainul Muttaqin 1.png","link":"https://epsongroup-my.sharepoint.com/personal/brian_ramdhani_epson_co_id/Documents/Apps/Microsoft%20Forms/TAKATSU%20ANALYZE%20REPORT/Question/Shutter%20Check%20Noise_Zainul%20Muttaqin%201.png","id":"01D6UVHSNUHKGGERRWHBGZHEFSDDB26Q7D","type":null,"size":465782,"referenceId":"01D6UVHSOX5DG5RX522VGYFCV365U3UBU3","driveId":"b!7qg8FsnQY0iiT36_x6Novv_3J9v4MtxPsytkCbb-ZPz3ScQFcxKeSqI2jw7AAtnZ","status":1,"uploadSessionUrl":null}]</t>
  </si>
  <si>
    <t>https://epsongroup-my.sharepoint.com/personal/brian_ramdhani_epson_co_id/Documents/Apps/Microsoft%20Forms/TAKATSU%20ANALYZE%20REPORT/Question/Shutter%20Check%20Noise_Zainul%20Muttaqin%201.png</t>
  </si>
  <si>
    <t>st-3tMPEuE-v6gY7FIkvNMgADt3W</t>
  </si>
  <si>
    <t>Combination Gear dent</t>
  </si>
  <si>
    <t>Change combination gear dent, check assembly method by OPR</t>
  </si>
  <si>
    <t>AR250825093917</t>
  </si>
  <si>
    <t>RP250825105215</t>
  </si>
  <si>
    <t>X7EN006818</t>
  </si>
  <si>
    <t>Slank sensor ng</t>
  </si>
  <si>
    <t>During Slack Sensor Inspection at PG Stage</t>
  </si>
  <si>
    <t>When slack sensor inspection check at PG stage, found slack sensor NG.</t>
  </si>
  <si>
    <t>[{"name":"Slack Sensor NG_Zainul Muttaqin.jpg","link":"https://epsongroup-my.sharepoint.com/personal/brian_ramdhani_epson_co_id/Documents/Apps/Microsoft%20Forms/TAKATSU%20ANALYZE%20REPORT/Question/Slack%20Sensor%20NG_Zainul%20Muttaqin.jpg","id":"01D6UVHSLSSDZGFQJOXRDYQ7FUSYL6JUM4","type":null,"size":117472,"referenceId":"01D6UVHSOX5DG5RX522VGYFCV365U3UBU3","driveId":"b!7qg8FsnQY0iiT36_x6Novv_3J9v4MtxPsytkCbb-ZPz3ScQFcxKeSqI2jw7AAtnZ","status":1,"uploadSessionUrl":null}]</t>
  </si>
  <si>
    <t>https://epsongroup-my.sharepoint.com/personal/brian_ramdhani_epson_co_id/Documents/Apps/Microsoft%20Forms/TAKATSU%20ANALYZE%20REPORT/Question/Slack%20Sensor%20NG_Zainul%20Muttaqin.jpg</t>
  </si>
  <si>
    <t>Xa7hl6ilDkSkwLWhbf8jEMgALChy</t>
  </si>
  <si>
    <t>Slack Assy Detector NG --&gt; Continue X-Ray analyze</t>
  </si>
  <si>
    <t>Change Slack Sensor become OK</t>
  </si>
  <si>
    <t>AR250825102812</t>
  </si>
  <si>
    <t>RP250825034541</t>
  </si>
  <si>
    <t>X7EN006787</t>
  </si>
  <si>
    <t>Jig 3</t>
  </si>
  <si>
    <t>During Initial Ink Charge, Found NG DO (Dot Omission) on Printing Result</t>
  </si>
  <si>
    <t>[{"name":"NG DO_Muhammad Dzaki Taufi 1.png","link":"https://epsongroup-my.sharepoint.com/personal/brian_ramdhani_epson_co_id/Documents/Apps/Microsoft%20Forms/TAKATSU%20ANALYZE%20REPORT/Question/NG%20DO_Muhammad%20Dzaki%20Taufi%201.png","id":"01D6UVHSJXKNSCJFZEW5A3DLYUWIV2VNHL","type":null,"size":1580301,"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</si>
  <si>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https://epsongroup-my.sharepoint.com/personal/brian_ramdhani_epson_co_id/Documents/Apps/Microsoft%20Forms/TAKATSU%20ANALYZE%20REPORT/Question/NG%20DO_Muhammad%20Dzaki%20Taufi%201.png</t>
  </si>
  <si>
    <t>A_6TIa8C-UWe3aK-v4vnecgAA-Es</t>
  </si>
  <si>
    <t>Change New PH, Product Become OK (NG PH still keep at MA)</t>
  </si>
  <si>
    <t>AR250826074107</t>
  </si>
  <si>
    <t>RP250826033906</t>
  </si>
  <si>
    <t>X7EN006839</t>
  </si>
  <si>
    <t>During Calibration Printing Process</t>
  </si>
  <si>
    <t>[{"name":"Abnormal Noise_Muhammad Dzaki Taufi.png","link":"https://epsongroup-my.sharepoint.com/personal/brian_ramdhani_epson_co_id/Documents/Apps/Microsoft%20Forms/TAKATSU%20ANALYZE%20REPORT/Question/Abnormal%20Noise_Muhammad%20Dzaki%20Taufi.png","id":"01D6UVHSNPIX2AAEE4NNFLXGPR7O23HFF2","type":null,"size":27233,"referenceId":"01D6UVHSOX5DG5RX522VGYFCV365U3UBU3","driveId":"b!7qg8FsnQY0iiT36_x6Novv_3J9v4MtxPsytkCbb-ZPz3ScQFcxKeSqI2jw7AAtnZ","status":1,"uploadSessionUrl":null}]</t>
  </si>
  <si>
    <t>https://epsongroup-my.sharepoint.com/personal/brian_ramdhani_epson_co_id/Documents/Apps/Microsoft%20Forms/TAKATSU%20ANALYZE%20REPORT/Question/Abnormal%20Noise_Muhammad%20Dzaki%20Taufi.png</t>
  </si>
  <si>
    <t>YWj_WICT-kG9FoX5F_2-8MgAARgJ</t>
  </si>
  <si>
    <t>AR250828080839</t>
  </si>
  <si>
    <t>RP250901090533</t>
  </si>
  <si>
    <t>X7FA009416</t>
  </si>
  <si>
    <t>Fatal Error 5839</t>
  </si>
  <si>
    <t>During Initial Power On, TFT Screen Stuck on Loading UI then appear FE</t>
  </si>
  <si>
    <t>[{"name":"False Reject_Nazar Bagus H. 41.PNG","link":"https://epsongroup-my.sharepoint.com/personal/brian_ramdhani_epson_co_id/Documents/Apps/Microsoft%20Forms/TAKATSU%20ANALYZE%20REPORT/Question/False%20Reject_Nazar%20Bagus%20H.%2041.PNG","id":"01D6UVHSNZQBJ5QGVIIVCZGN2ALGQQUHTJ","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</si>
  <si>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https://epsongroup-my.sharepoint.com/personal/brian_ramdhani_epson_co_id/Documents/Apps/Microsoft%20Forms/TAKATSU%20ANALYZE%20REPORT/Question/False%20Reject_Nazar%20Bagus%20H.%2041.PNG</t>
  </si>
  <si>
    <t>AtSv0GlNwkC5R1-r2qAEksgAFvVv</t>
  </si>
  <si>
    <t>After Check Connection on M/B, Product become OK. Try On Off 10x OK</t>
  </si>
  <si>
    <t>AR250828121230</t>
  </si>
  <si>
    <t>RP250901104314</t>
  </si>
  <si>
    <t>X7EP000551</t>
  </si>
  <si>
    <t xml:space="preserve">Slack sensor calibrasi ng </t>
  </si>
  <si>
    <t>Saat slack sensor</t>
  </si>
  <si>
    <t>During Slack Sensor Inspection, Found Result NG</t>
  </si>
  <si>
    <t>[{"name":"Slack Sensor NG_Nazar Bagus H..png","link":"https://epsongroup-my.sharepoint.com/personal/brian_ramdhani_epson_co_id/Documents/Apps/Microsoft%20Forms/TAKATSU%20ANALYZE%20REPORT/Question/Slack%20Sensor%20NG_Nazar%20Bagus%20H..png","id":"01D6UVHSIKGLA7DU3JIVB2HUXVCIKSAC36","type":null,"size":20059,"referenceId":"01D6UVHSOX5DG5RX522VGYFCV365U3UBU3","driveId":"b!7qg8FsnQY0iiT36_x6Novv_3J9v4MtxPsytkCbb-ZPz3ScQFcxKeSqI2jw7AAtnZ","status":1,"uploadSessionUrl":null}]</t>
  </si>
  <si>
    <t>https://epsongroup-my.sharepoint.com/personal/brian_ramdhani_epson_co_id/Documents/Apps/Microsoft%20Forms/TAKATSU%20ANALYZE%20REPORT/Question/Slack%20Sensor%20NG_Nazar%20Bagus%20H..png</t>
  </si>
  <si>
    <t>3RmUW3O5L0-XwcmmFt9Vs8gAA1qL</t>
  </si>
  <si>
    <t>Receiver and Emitter not Align</t>
  </si>
  <si>
    <t>Change Slack Sensor  OK</t>
  </si>
  <si>
    <t>AR250829044904</t>
  </si>
  <si>
    <t>RP250919035306</t>
  </si>
  <si>
    <t>X7FQ009593</t>
  </si>
  <si>
    <t xml:space="preserve">During Initial Check Result Printing, Found NG DMAV on Nozzle Check Print Result </t>
  </si>
  <si>
    <t>[{"name":"NG PH DMAV_Muhammad Dzaki Taufi.png","link":"https://epsongroup-my.sharepoint.com/personal/brian_ramdhani_epson_co_id/Documents/Apps/Microsoft%20Forms/TAKATSU%20ANALYZE%20REPORT/Question/NG%20PH%20DMAV_Muhammad%20Dzaki%20Taufi.png","id":"01D6UVHSMX6QLUETQEJNCZTYB67AQEAH2Z","type":null,"size":365086,"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</si>
  <si>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https://epsongroup-my.sharepoint.com/personal/brian_ramdhani_epson_co_id/Documents/Apps/Microsoft%20Forms/TAKATSU%20ANALYZE%20REPORT/Question/NG%20PH%20DMAV_Muhammad%20Dzaki%20Taufi.png</t>
  </si>
  <si>
    <t>AoXXJnm1GkSPb2qNVzZgksgALYa-</t>
  </si>
  <si>
    <t>Change new PH, Product Become OK</t>
  </si>
  <si>
    <t>AR250829052120</t>
  </si>
  <si>
    <t>RP250915034125</t>
  </si>
  <si>
    <t>X7FQ009596</t>
  </si>
  <si>
    <t>During Printing Process, found NG UP on Nozzle Check Result</t>
  </si>
  <si>
    <t>[{"name":"DO 12 SEPTT_Muhammad Dzaki Taufi.png","link":"https://epsongroup-my.sharepoint.com/personal/brian_ramdhani_epson_co_id/Documents/Apps/Microsoft%20Forms/TAKATSU%20ANALYZE%20REPORT/Question/DO%2012%20SEPTT_Muhammad%20Dzaki%20Taufi.png","id":"01D6UVHSI7IKJKK5BU2VFI3VIT5SENUGLC","type":null,"size":3349934,"referenceId":"01D6UVHSOX5DG5RX522VGYFCV365U3UBU3","driveId":"b!7qg8FsnQY0iiT36_x6Novv_3J9v4MtxPsytkCbb-ZPz3ScQFcxKeSqI2jw7AAtnZ","status":1,"uploadSessionUrl":null}]</t>
  </si>
  <si>
    <t>https://epsongroup-my.sharepoint.com/personal/brian_ramdhani_epson_co_id/Documents/Apps/Microsoft%20Forms/TAKATSU%20ANALYZE%20REPORT/Question/DO%2012%20SEPTT_Muhammad%20Dzaki%20Taufi.png</t>
  </si>
  <si>
    <t>ZQAnALE280q1EQSUT2rWxcgAEWFr</t>
  </si>
  <si>
    <t>Change new PH, product become OK</t>
  </si>
  <si>
    <t>AR250901111451</t>
  </si>
  <si>
    <t>RP250909072102</t>
  </si>
  <si>
    <t>X7FP006681</t>
  </si>
  <si>
    <t>During Initial Printing Process, Found NG DO on Nozzle Print Result</t>
  </si>
  <si>
    <t>[{"name":"okwmcwls_Muhammad Dzaki Taufi.jpg","link":"https://epsongroup-my.sharepoint.com/personal/brian_ramdhani_epson_co_id/Documents/Apps/Microsoft%20Forms/TAKATSU%20ANALYZE%20REPORT/Question/okwmcwls_Muhammad%20Dzaki%20Taufi.jpg","id":"01D6UVHSLEAIJDAIRVJNDKQRMNAVH4SJLI","type":null,"size":54956,"referenceId":"01D6UVHSOX5DG5RX522VGYFCV365U3UBU3","driveId":"b!7qg8FsnQY0iiT36_x6Novv_3J9v4MtxPsytkCbb-ZPz3ScQFcxKeSqI2jw7AAtnZ","status":1,"uploadSessionUrl":null}]</t>
  </si>
  <si>
    <t>https://epsongroup-my.sharepoint.com/personal/brian_ramdhani_epson_co_id/Documents/Apps/Microsoft%20Forms/TAKATSU%20ANALYZE%20REPORT/Question/okwmcwls_Muhammad%20Dzaki%20Taufi.jpg</t>
  </si>
  <si>
    <t>Ld369fDUkkCE94_R9CxjE8gAHMg9</t>
  </si>
  <si>
    <t>PH Recovery after keep then assy new mecha</t>
  </si>
  <si>
    <t>No Need Action Item</t>
  </si>
  <si>
    <t>AR250901112843</t>
  </si>
  <si>
    <t>RP250909082302</t>
  </si>
  <si>
    <t>X7FK000696</t>
  </si>
  <si>
    <t>During Slack Sensor Check. Found Result NG</t>
  </si>
  <si>
    <t>[{"name":"Slack Sensor NG 2_Nazar Bagus H..jpg","link":"https://epsongroup-my.sharepoint.com/personal/brian_ramdhani_epson_co_id/Documents/Apps/Microsoft%20Forms/TAKATSU%20ANALYZE%20REPORT/Question/Slack%20Sensor%20NG%202_Nazar%20Bagus%20H..jpg","id":"01D6UVHSJBWM7OF6E7TNBYXK4TGFPWADKV","type":null,"size":252819,"referenceId":"01D6UVHSOX5DG5RX522VGYFCV365U3UBU3","driveId":"b!7qg8FsnQY0iiT36_x6Novv_3J9v4MtxPsytkCbb-ZPz3ScQFcxKeSqI2jw7AAtnZ","status":1,"uploadSessionUrl":null}]</t>
  </si>
  <si>
    <t>https://epsongroup-my.sharepoint.com/personal/brian_ramdhani_epson_co_id/Documents/Apps/Microsoft%20Forms/TAKATSU%20ANALYZE%20REPORT/Question/Slack%20Sensor%20NG%202_Nazar%20Bagus%20H..jpg</t>
  </si>
  <si>
    <t>ik19Al2uHUejhoFMopG0k8gADmnv</t>
  </si>
  <si>
    <t>Transmitter and receiver Slack Sensor not align</t>
  </si>
  <si>
    <t xml:space="preserve">Re-Align Transmitter and Receiver become OK </t>
  </si>
  <si>
    <t>AR250901115630</t>
  </si>
  <si>
    <t>RP250909071259</t>
  </si>
  <si>
    <t>X7EU000282</t>
  </si>
  <si>
    <t>Abnormal Print</t>
  </si>
  <si>
    <t>During Printing Process, Found NG Abnormal Print on Result Nozzle Print</t>
  </si>
  <si>
    <t>[{"name":"haaa_Muhammad Dzaki Taufi.jpg","link":"https://epsongroup-my.sharepoint.com/personal/brian_ramdhani_epson_co_id/Documents/Apps/Microsoft%20Forms/TAKATSU%20ANALYZE%20REPORT/Question/haaa_Muhammad%20Dzaki%20Taufi.jpg","id":"01D6UVHSMZX4HL7QLPTJBZXDL7F6VAUB27","type":null,"size":168689,"referenceId":"01D6UVHSOX5DG5RX522VGYFCV365U3UBU3","driveId":"b!7qg8FsnQY0iiT36_x6Novv_3J9v4MtxPsytkCbb-ZPz3ScQFcxKeSqI2jw7AAtnZ","status":1,"uploadSessionUrl":null}]</t>
  </si>
  <si>
    <t>https://epsongroup-my.sharepoint.com/personal/brian_ramdhani_epson_co_id/Documents/Apps/Microsoft%20Forms/TAKATSU%20ANALYZE%20REPORT/Question/haaa_Muhammad%20Dzaki%20Taufi.jpg</t>
  </si>
  <si>
    <t>Fr4EI3CqKU2pmaagOxxsjMgAAMpv</t>
  </si>
  <si>
    <t>PH Recovery after keep one night then assy to new mecha</t>
  </si>
  <si>
    <t>No Need Action Item (PH had Recovery)</t>
  </si>
  <si>
    <t>AR250902102805</t>
  </si>
  <si>
    <t>RP250903011153</t>
  </si>
  <si>
    <t>X7EX000093</t>
  </si>
  <si>
    <t>During Initial Ink Charge, Found NG Dot Omission (DO) on Printing Result</t>
  </si>
  <si>
    <t>[{"name":"NG DO 3 SEPT_Muhammad Dzaki Taufi.png","link":"https://epsongroup-my.sharepoint.com/personal/brian_ramdhani_epson_co_id/Documents/Apps/Microsoft%20Forms/TAKATSU%20ANALYZE%20REPORT/Question/NG%20DO%203%20SEPT_Muhammad%20Dzaki%20Taufi.png","id":"01D6UVHSPCBW2SCPHXN5DZRDLYFNAGRT25","type":null,"size":6197880,"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</si>
  <si>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https://epsongroup-my.sharepoint.com/personal/brian_ramdhani_epson_co_id/Documents/Apps/Microsoft%20Forms/TAKATSU%20ANALYZE%20REPORT/Question/NG%20DO%203%20SEPT_Muhammad%20Dzaki%20Taufi.png</t>
  </si>
  <si>
    <t>ha2Yw7WLvkGN0n8DM0mR1sgAJSvH</t>
  </si>
  <si>
    <t>AR250903103435</t>
  </si>
  <si>
    <t>RP250903034754</t>
  </si>
  <si>
    <t>X7FQ009650</t>
  </si>
  <si>
    <t>During Press Button Panel CUT, After Auto Cutter Moving then appear Paper Jam on display</t>
  </si>
  <si>
    <t>[{"name":"1756888857013_Muhammad Dzaki Taufi.jpg","link":"https://epsongroup-my.sharepoint.com/personal/brian_ramdhani_epson_co_id/Documents/Apps/Microsoft%20Forms/TAKATSU%20ANALYZE%20REPORT/Question/1756888857013_Muhammad%20Dzaki%20Taufi.jpg","id":"01D6UVHSPWFUVSVQL22NHIDC7HXJK27CU6","type":null,"size":4928068,"referenceId":"01D6UVHSOX5DG5RX522VGYFCV365U3UBU3","driveId":"b!7qg8FsnQY0iiT36_x6Novv_3J9v4MtxPsytkCbb-ZPz3ScQFcxKeSqI2jw7AAtnZ","status":1,"uploadSessionUrl":null}]</t>
  </si>
  <si>
    <t>https://epsongroup-my.sharepoint.com/personal/brian_ramdhani_epson_co_id/Documents/Apps/Microsoft%20Forms/TAKATSU%20ANALYZE%20REPORT/Question/1756888857013_Muhammad%20Dzaki%20Taufi.jpg</t>
  </si>
  <si>
    <t>B8U0FyWamkmYdbw1zo5f4MgAIvem</t>
  </si>
  <si>
    <t>Lever Sensor on Auto Cutter NG</t>
  </si>
  <si>
    <t>Change Lever Sensor on Auto Cutter NG, Product Become OK</t>
  </si>
  <si>
    <t>AR250903015412</t>
  </si>
  <si>
    <t>RP250903033624</t>
  </si>
  <si>
    <t>X7FP006705</t>
  </si>
  <si>
    <t>Jig 7</t>
  </si>
  <si>
    <t>During Initial printing process, Heard Small Noise around Platen Unit</t>
  </si>
  <si>
    <t>[{"name":"False Reject_M. Dzaki_Muhammad Dzaki Taufi 10.png","link":"https://epsongroup-my.sharepoint.com/personal/brian_ramdhani_epson_co_id/Documents/Apps/Microsoft%20Forms/TAKATSU%20ANALYZE%20REPORT/Question/False%20Reject_M.%20Dzaki_Muhammad%20Dzaki%20Taufi%2010.png","id":"01D6UVHSJB5V6BCPZV5RCLRQTMMLCA6YWH","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</si>
  <si>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https://epsongroup-my.sharepoint.com/personal/brian_ramdhani_epson_co_id/Documents/Apps/Microsoft%20Forms/TAKATSU%20ANALYZE%20REPORT/Question/False%20Reject_M.%20Dzaki_Muhammad%20Dzaki%20Taufi%2010.png</t>
  </si>
  <si>
    <t>wdjH1LIXtU2MCixjHNZZEMgALloM</t>
  </si>
  <si>
    <t xml:space="preserve">Noise not identified as Abnormality </t>
  </si>
  <si>
    <t>AR250908023640</t>
  </si>
  <si>
    <t>RP250909065952</t>
  </si>
  <si>
    <t>X7FQ009655</t>
  </si>
  <si>
    <t>During Initial Printing Process</t>
  </si>
  <si>
    <t>[{"name":"False Reject_M. Dzaki_Muhammad Dzaki Taufi 11.png","link":"https://epsongroup-my.sharepoint.com/personal/brian_ramdhani_epson_co_id/Documents/Apps/Microsoft%20Forms/TAKATSU%20ANALYZE%20REPORT/Question/False%20Reject_M.%20Dzaki_Muhammad%20Dzaki%20Taufi%2011.png","id":"01D6UVHSLFHDMBKKSTSBHLTVKWLIWLBAK7","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</si>
  <si>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https://epsongroup-my.sharepoint.com/personal/brian_ramdhani_epson_co_id/Documents/Apps/Microsoft%20Forms/TAKATSU%20ANALYZE%20REPORT/Question/False%20Reject_M.%20Dzaki_Muhammad%20Dzaki%20Taufi%2011.png</t>
  </si>
  <si>
    <t>_z_Z2H44dU65eaS5Isjlk8gAPYYj</t>
  </si>
  <si>
    <t>Noise not identified as Abnormality</t>
  </si>
  <si>
    <t>AR250909075934</t>
  </si>
  <si>
    <t>RP250922040642</t>
  </si>
  <si>
    <t>X7FQ009660</t>
  </si>
  <si>
    <t xml:space="preserve">Jig 2 ( proses printing ) </t>
  </si>
  <si>
    <t>During Initial Paper Load at Stage Printing, found Paper stuck into Plate Platen</t>
  </si>
  <si>
    <t>[{"name":"Paper Jam Plate Platen_Nazar Bagus H..jpg","link":"https://epsongroup-my.sharepoint.com/personal/brian_ramdhani_epson_co_id/Documents/Apps/Microsoft%20Forms/TAKATSU%20ANALYZE%20REPORT/Question/Paper%20Jam%20Plate%20Platen_Nazar%20Bagus%20H..jpg","id":"01D6UVHSKCCFEDAJSWMZEZWE7E6A36V2N2","type":null,"size":102750,"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</si>
  <si>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https://epsongroup-my.sharepoint.com/personal/brian_ramdhani_epson_co_id/Documents/Apps/Microsoft%20Forms/TAKATSU%20ANALYZE%20REPORT/Question/Paper%20Jam%20Plate%20Platen_Nazar%20Bagus%20H..jpg</t>
  </si>
  <si>
    <t>IuZwLbbIKkKrlt82a4itPsgALbfU</t>
  </si>
  <si>
    <t>Change Plate Platen become OK and Guarantee all stock</t>
  </si>
  <si>
    <t>AR250909085208</t>
  </si>
  <si>
    <t>RP250909065534</t>
  </si>
  <si>
    <t>X7F4009437</t>
  </si>
  <si>
    <t>During Printing process, Found NG DO on Result Nozzle Print Coloumn D3 Black</t>
  </si>
  <si>
    <t>[{"name":"Picture1_Muhammad Dzaki Taufi 3.png","link":"https://epsongroup-my.sharepoint.com/personal/brian_ramdhani_epson_co_id/Documents/Apps/Microsoft%20Forms/TAKATSU%20ANALYZE%20REPORT/Question/Picture1_Muhammad%20Dzaki%20Taufi%203.png","id":"01D6UVHSNENBFZBIJSVJEZAJDHKUFSLLTL","type":null,"size":1135543,"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</si>
  <si>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https://epsongroup-my.sharepoint.com/personal/brian_ramdhani_epson_co_id/Documents/Apps/Microsoft%20Forms/TAKATSU%20ANALYZE%20REPORT/Question/Picture1_Muhammad%20Dzaki%20Taufi%203.png</t>
  </si>
  <si>
    <t>2Xe7m6CDr0eXFjvEQEB5FcgABC4Y</t>
  </si>
  <si>
    <t>AR250909085947</t>
  </si>
  <si>
    <t>RP250922040707</t>
  </si>
  <si>
    <t>X7FQ009663</t>
  </si>
  <si>
    <t xml:space="preserve">Jig 6 </t>
  </si>
  <si>
    <t>[{"name":"Paper Jam Plate Platen_Nazar Bagus H. 1.jpg","link":"https://epsongroup-my.sharepoint.com/personal/brian_ramdhani_epson_co_id/Documents/Apps/Microsoft%20Forms/TAKATSU%20ANALYZE%20REPORT/Question/Paper%20Jam%20Plate%20Platen_Nazar%20Bagus%20H.%201.jpg","id":"01D6UVHSL7HMNUIHIJ6JDLAWSD3SFUE3TQ","type":null,"size":102750,"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</si>
  <si>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https://epsongroup-my.sharepoint.com/personal/brian_ramdhani_epson_co_id/Documents/Apps/Microsoft%20Forms/TAKATSU%20ANALYZE%20REPORT/Question/Paper%20Jam%20Plate%20Platen_Nazar%20Bagus%20H.%201.jpg</t>
  </si>
  <si>
    <t>pXdRZEzhfkWad5lzEV0x3cgALDCv</t>
  </si>
  <si>
    <t>AR250910073721</t>
  </si>
  <si>
    <t>X7FQ009686</t>
  </si>
  <si>
    <t>t3V64Y-9p0e9Mv0eXtLip8gAIQdt</t>
  </si>
  <si>
    <t>AR250910092517</t>
  </si>
  <si>
    <t>RP250915034743</t>
  </si>
  <si>
    <t>X7F7001087</t>
  </si>
  <si>
    <t>During Initial Ink Charge Process, Heard Small Noise around Maintenance Unit</t>
  </si>
  <si>
    <t>[{"name":"False Reject_M. Dzaki_Muhammad Dzaki Taufi 13.png","link":"https://epsongroup-my.sharepoint.com/personal/brian_ramdhani_epson_co_id/Documents/Apps/Microsoft%20Forms/TAKATSU%20ANALYZE%20REPORT/Question/False%20Reject_M.%20Dzaki_Muhammad%20Dzaki%20Taufi%2013.png","id":"01D6UVHSLWCT24UZ2LFJD3CKM6DKKKVSVU","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</si>
  <si>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https://epsongroup-my.sharepoint.com/personal/brian_ramdhani_epson_co_id/Documents/Apps/Microsoft%20Forms/TAKATSU%20ANALYZE%20REPORT/Question/False%20Reject_M.%20Dzaki_Muhammad%20Dzaki%20Taufi%2013.png</t>
  </si>
  <si>
    <t>ADucn3Gj0UyvUEwWprqjm8gALAi3</t>
  </si>
  <si>
    <t>AR250912073151</t>
  </si>
  <si>
    <t>RP250912040004</t>
  </si>
  <si>
    <t>X7EN006895</t>
  </si>
  <si>
    <t>Air leak cek ng</t>
  </si>
  <si>
    <t xml:space="preserve"> During Air Leak Inspection</t>
  </si>
  <si>
    <t>Saat Proses air leak cek</t>
  </si>
  <si>
    <t xml:space="preserve">During Initial Air Leak Process, Appear Air Leak Check (NG) Slot YE 31&lt; Value &lt; 34 on Monitor </t>
  </si>
  <si>
    <t>[{"name":"False Reject_M. Dzaki_Muhammad Dzaki Taufi 12.png","link":"https://epsongroup-my.sharepoint.com/personal/brian_ramdhani_epson_co_id/Documents/Apps/Microsoft%20Forms/TAKATSU%20ANALYZE%20REPORT/Question/False%20Reject_M.%20Dzaki_Muhammad%20Dzaki%20Taufi%2012.png","id":"01D6UVHSK6AWAZZ7YFFNH36FQPFGYXMAVJ","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</si>
  <si>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https://epsongroup-my.sharepoint.com/personal/brian_ramdhani_epson_co_id/Documents/Apps/Microsoft%20Forms/TAKATSU%20ANALYZE%20REPORT/Question/False%20Reject_M.%20Dzaki_Muhammad%20Dzaki%20Taufi%2012.png</t>
  </si>
  <si>
    <t>SSZN0LQkRU62vIAuPE0hoMgANQFs</t>
  </si>
  <si>
    <t>Re-try 5x Product OK</t>
  </si>
  <si>
    <t>AR250912103105</t>
  </si>
  <si>
    <t>RP250912041639</t>
  </si>
  <si>
    <t>X7EN006887</t>
  </si>
  <si>
    <t>MTC Box NG</t>
  </si>
  <si>
    <t>Saat proses cek sensor</t>
  </si>
  <si>
    <t>During Inspection CSIC Check, Found M/T : CSIC R/W &amp; T/Counter is NG</t>
  </si>
  <si>
    <t>[{"name":"Picture3_Muhammad Dzaki Taufi.png","link":"https://epsongroup-my.sharepoint.com/personal/brian_ramdhani_epson_co_id/Documents/Apps/Microsoft%20Forms/TAKATSU%20ANALYZE%20REPORT/Question/Picture3_Muhammad%20Dzaki%20Taufi.png","id":"01D6UVHSOILGW4KK6HJ5EYU5IN7AS4RDID","type":null,"size":9175272,"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</si>
  <si>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https://epsongroup-my.sharepoint.com/personal/brian_ramdhani_epson_co_id/Documents/Apps/Microsoft%20Forms/TAKATSU%20ANALYZE%20REPORT/Question/Picture3_Muhammad%20Dzaki%20Taufi.png</t>
  </si>
  <si>
    <t>zJRplMsXTE25S_8qacnkOsgAC-Sr</t>
  </si>
  <si>
    <t>FFC Holder Maintenance Box Peel Off</t>
  </si>
  <si>
    <t>Change FFC Holder Maintenance Box with the new, Product Become OK</t>
  </si>
  <si>
    <t>AR250915105536</t>
  </si>
  <si>
    <t>RP250915020445</t>
  </si>
  <si>
    <t>X7F4009453</t>
  </si>
  <si>
    <t>During Initial Loading Paper, found product not feeding the paper</t>
  </si>
  <si>
    <t>[{"name":"FFC Sub Slanting_Nazar Bagus H..jpg","link":"https://epsongroup-my.sharepoint.com/personal/brian_ramdhani_epson_co_id/Documents/Apps/Microsoft%20Forms/TAKATSU%20ANALYZE%20REPORT/Question/FFC%20Sub%20Slanting_Nazar%20Bagus%20H..jpg","id":"01D6UVHSO47MH3DNAOVNE2PRJBK4NORI2X","type":null,"size":83174,"referenceId":"01D6UVHSOX5DG5RX522VGYFCV365U3UBU3","driveId":"b!7qg8FsnQY0iiT36_x6Novv_3J9v4MtxPsytkCbb-ZPz3ScQFcxKeSqI2jw7AAtnZ","status":1,"uploadSessionUrl":null}]</t>
  </si>
  <si>
    <t>https://epsongroup-my.sharepoint.com/personal/brian_ramdhani_epson_co_id/Documents/Apps/Microsoft%20Forms/TAKATSU%20ANALYZE%20REPORT/Question/FFC%20Sub%20Slanting_Nazar%20Bagus%20H..jpg</t>
  </si>
  <si>
    <t>iWhjuqaEuUaC5i6DUX6BasgALjOQ</t>
  </si>
  <si>
    <t>FFC Sub on Main Board Slanting (Any 4M on Related Stage (Stage PH))</t>
  </si>
  <si>
    <t>Re-Assy FFC Become OK</t>
  </si>
  <si>
    <t>AR250916085620</t>
  </si>
  <si>
    <t>RP250923012534</t>
  </si>
  <si>
    <t>X7F4009465</t>
  </si>
  <si>
    <t>During Interanal Inspection</t>
  </si>
  <si>
    <t>Saat Calibrasi</t>
  </si>
  <si>
    <t>Heard Noise during initial power On</t>
  </si>
  <si>
    <t>[{"name":"False Reject_Nazar Bagus H. 42.PNG","link":"https://epsongroup-my.sharepoint.com/personal/brian_ramdhani_epson_co_id/Documents/Apps/Microsoft%20Forms/TAKATSU%20ANALYZE%20REPORT/Question/False%20Reject_Nazar%20Bagus%20H.%2042.PNG","id":"01D6UVHSJQVERLUWC3SNCJYEZ6WALIB6PK","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</si>
  <si>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https://epsongroup-my.sharepoint.com/personal/brian_ramdhani_epson_co_id/Documents/Apps/Microsoft%20Forms/TAKATSU%20ANALYZE%20REPORT/Question/False%20Reject_Nazar%20Bagus%20H.%2042.PNG</t>
  </si>
  <si>
    <t>Q3YxOPhcM0WaSWEuO2ZxcMgAKG8M</t>
  </si>
  <si>
    <t>Not NG. Noise not categorized as abnormal</t>
  </si>
  <si>
    <t>AR250917102048</t>
  </si>
  <si>
    <t>RP250923012917</t>
  </si>
  <si>
    <t>X7FQ009729</t>
  </si>
  <si>
    <t>During Initial Loading Paper at Stage Printing, Paper Stuck into Plate Platen</t>
  </si>
  <si>
    <t>[{"name":"Paper Jam_Nazar Bagus H. 1.jpg","link":"https://epsongroup-my.sharepoint.com/personal/brian_ramdhani_epson_co_id/Documents/Apps/Microsoft%20Forms/TAKATSU%20ANALYZE%20REPORT/Question/Paper%20Jam_Nazar%20Bagus%20H.%201.jpg","id":"01D6UVHSOCKTFLXVEH2FAKLAJ2JTVES5UI","type":null,"size":86663,"referenceId":"01D6UVHSOX5DG5RX522VGYFCV365U3UBU3","driveId":"b!7qg8FsnQY0iiT36_x6Novv_3J9v4MtxPsytkCbb-ZPz3ScQFcxKeSqI2jw7AAtnZ","status":1,"uploadSessionUrl":null}]</t>
  </si>
  <si>
    <t>https://epsongroup-my.sharepoint.com/personal/brian_ramdhani_epson_co_id/Documents/Apps/Microsoft%20Forms/TAKATSU%20ANALYZE%20REPORT/Question/Paper%20Jam_Nazar%20Bagus%20H.%201.jpg</t>
  </si>
  <si>
    <t>otH1DGxDbUGe6Ynm1qYvOsgAHr8w</t>
  </si>
  <si>
    <t>CHange plate Platen become OK</t>
  </si>
  <si>
    <t>AR250917025312</t>
  </si>
  <si>
    <t>RP250922041911</t>
  </si>
  <si>
    <t>X7FQ009748</t>
  </si>
  <si>
    <t>Saat proses louding paper</t>
  </si>
  <si>
    <t>During Label Sensor Calibration Check, appear Paper jam on TFT Screen after press "Pause"</t>
  </si>
  <si>
    <t>[{"name":"Missing Scale Roll_Nazar Bagus H..jpg","link":"https://epsongroup-my.sharepoint.com/personal/brian_ramdhani_epson_co_id/Documents/Apps/Microsoft%20Forms/TAKATSU%20ANALYZE%20REPORT/Question/Missing%20Scale%20Roll_Nazar%20Bagus%20H..jpg","id":"01D6UVHSJZSFA5BUUX45GZ5HFZLJRAFG2E","type":null,"size":49788,"referenceId":"01D6UVHSOX5DG5RX522VGYFCV365U3UBU3","driveId":"b!7qg8FsnQY0iiT36_x6Novv_3J9v4MtxPsytkCbb-ZPz3ScQFcxKeSqI2jw7AAtnZ","status":1,"uploadSessionUrl":null}]</t>
  </si>
  <si>
    <t>0TAIx9iKrUmMF6BsRzu4BsgAN4Pc</t>
  </si>
  <si>
    <t>Scale Roll not Assembled</t>
  </si>
  <si>
    <t>Change Roll Unit become OK</t>
  </si>
  <si>
    <t>AR250922022719</t>
  </si>
  <si>
    <t>RP250923075958</t>
  </si>
  <si>
    <t>X7F4009512</t>
  </si>
  <si>
    <t>Fatal error 005146</t>
  </si>
  <si>
    <t>Setelah proses ear leak selesai</t>
  </si>
  <si>
    <t>During Power On, MNU Rotating abnormally then appear FE 5146</t>
  </si>
  <si>
    <t>[{"name":"FFC sub slanting 2_Nazar Bagus H..jpg","link":"https://epsongroup-my.sharepoint.com/personal/brian_ramdhani_epson_co_id/Documents/Apps/Microsoft%20Forms/TAKATSU%20ANALYZE%20REPORT/Question/FFC%20sub%20slanting%202_Nazar%20Bagus%20H..jpg","id":"01D6UVHSP5FVDRJSXH7JDZLVFCYV6VSWYL","type":null,"size":74534,"referenceId":"01D6UVHSOX5DG5RX522VGYFCV365U3UBU3","driveId":"b!7qg8FsnQY0iiT36_x6Novv_3J9v4MtxPsytkCbb-ZPz3ScQFcxKeSqI2jw7AAtnZ","status":1,"uploadSessionUrl":null}]</t>
  </si>
  <si>
    <t>https://epsongroup-my.sharepoint.com/personal/brian_ramdhani_epson_co_id/Documents/Apps/Microsoft%20Forms/TAKATSU%20ANALYZE%20REPORT/Question/FFC%20sub%20slanting%202_Nazar%20Bagus%20H..jpg</t>
  </si>
  <si>
    <t>jjClAhbrZEuZyVGOnM-MBMgAO7d2</t>
  </si>
  <si>
    <t>FFC Sub Not Full Insert (4M Manpower at Stage MA02)</t>
  </si>
  <si>
    <t>Re Connect FFC OK</t>
  </si>
  <si>
    <t>AR250923112336</t>
  </si>
  <si>
    <t>RP250923025327</t>
  </si>
  <si>
    <t>X7F4009507</t>
  </si>
  <si>
    <t xml:space="preserve">During Initial Printing Process, Found NG Dot Omission on Nozzle Result Check </t>
  </si>
  <si>
    <t>[{"name":"NG PH DO 23 SEPT_Muhammad Dzaki Taufi.png","link":"https://epsongroup-my.sharepoint.com/personal/brian_ramdhani_epson_co_id/Documents/Apps/Microsoft%20Forms/TAKATSU%20ANALYZE%20REPORT/Question/NG%20PH%20DO%2023%20SEPT_Muhammad%20Dzaki%20Taufi.png","id":"01D6UVHSIEALFNOG2KMZHKGISOUIRTR4X7","type":null,"size":3568443,"referenceId":"01D6UVHSOX5DG5RX522VGYFCV365U3UBU3","driveId":"b!7qg8FsnQY0iiT36_x6Novv_3J9v4MtxPsytkCbb-ZPz3ScQFcxKeSqI2jw7AAtnZ","status":1,"uploadSessionUrl":null}]</t>
  </si>
  <si>
    <t>https://epsongroup-my.sharepoint.com/personal/brian_ramdhani_epson_co_id/Documents/Apps/Microsoft%20Forms/TAKATSU%20ANALYZE%20REPORT/Question/NG%20PH%20DO%2023%20SEPT_Muhammad%20Dzaki%20Taufi.png</t>
  </si>
  <si>
    <t>OQm9CEQS2Eq-NO-MyDM1c8gAO9ec</t>
  </si>
  <si>
    <t xml:space="preserve">Change New PH, Become OK </t>
  </si>
  <si>
    <t>AR251009120659</t>
  </si>
  <si>
    <t>RP251023073603</t>
  </si>
  <si>
    <t>X7ER001314</t>
  </si>
  <si>
    <t>Ink DIsch</t>
  </si>
  <si>
    <t>Ink DIscharge Value below std</t>
  </si>
  <si>
    <t>No Inkcharge</t>
  </si>
  <si>
    <t xml:space="preserve">Nilai discharge tdk standart </t>
  </si>
  <si>
    <t>During Ink Discharge, found Value below std. std 350, actual 340</t>
  </si>
  <si>
    <t>[{"name":"False Reject_Nazar Bagus H. 43.PNG","link":"https://epsongroup-my.sharepoint.com/personal/brian_ramdhani_epson_co_id/Documents/Apps/Microsoft%20Forms/TAKATSU%20ANALYZE%20REPORT/Question/False%20Reject_Nazar%20Bagus%20H.%2043.PNG","id":"01D6UVHSIJ4GY5SVXBLVALK3TPENGRNCDB","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</si>
  <si>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https://epsongroup-my.sharepoint.com/personal/brian_ramdhani_epson_co_id/Documents/Apps/Microsoft%20Forms/TAKATSU%20ANALYZE%20REPORT/Question/False%20Reject_Nazar%20Bagus%20H.%2043.PNG</t>
  </si>
  <si>
    <t>Exei8tda80aF0ZJ1UfB8JcgAOy9W</t>
  </si>
  <si>
    <t>Change Rubber Seal JIG Dummy I/C</t>
  </si>
  <si>
    <t>AR251010072704</t>
  </si>
  <si>
    <t>RP251023074512</t>
  </si>
  <si>
    <t>X7ER001338</t>
  </si>
  <si>
    <t xml:space="preserve">Air Leak  ng (bk) </t>
  </si>
  <si>
    <t>Saat proses leakcek</t>
  </si>
  <si>
    <t xml:space="preserve">During Air Leak Check. Found Value decreasing </t>
  </si>
  <si>
    <t>[{"name":"Air Leak NG_Nazar Bagus H..jpg","link":"https://epsongroup-my.sharepoint.com/personal/brian_ramdhani_epson_co_id/Documents/Apps/Microsoft%20Forms/TAKATSU%20ANALYZE%20REPORT/Question/Air%20Leak%20NG_Nazar%20Bagus%20H..jpg","id":"01D6UVHSOJBBJEMZH44FAL2EDJ7PGHAJX6","type":null,"size":62053,"referenceId":"01D6UVHSOX5DG5RX522VGYFCV365U3UBU3","driveId":"b!7qg8FsnQY0iiT36_x6Novv_3J9v4MtxPsytkCbb-ZPz3ScQFcxKeSqI2jw7AAtnZ","status":1,"uploadSessionUrl":null}]</t>
  </si>
  <si>
    <t>https://epsongroup-my.sharepoint.com/personal/brian_ramdhani_epson_co_id/Documents/Apps/Microsoft%20Forms/TAKATSU%20ANALYZE%20REPORT/Question/Air%20Leak%20NG_Nazar%20Bagus%20H..jpg</t>
  </si>
  <si>
    <t>LGvybZyCL0enV9_QkRI-lcgAKfzJ</t>
  </si>
  <si>
    <t>Supply Unit Broken due to Assembly Problem. Any 4M on Stage PH (Reduce Capacity)</t>
  </si>
  <si>
    <t>Remind Operator to Ensure Supply Unit Full Insert before Screwing. Ensure TC Training 4M correctly.</t>
  </si>
  <si>
    <t>AR251014102105</t>
  </si>
  <si>
    <t>RP251015104959</t>
  </si>
  <si>
    <t>X7EV001723</t>
  </si>
  <si>
    <t xml:space="preserve">Saat print </t>
  </si>
  <si>
    <t>During Initial Printing Process, Found NG Smear Print on Result Printing</t>
  </si>
  <si>
    <t>[{"name":"False Reject_M. Dzaki_Muhammad Dzaki Taufi 14.png","link":"https://epsongroup-my.sharepoint.com/personal/brian_ramdhani_epson_co_id/Documents/Apps/Microsoft%20Forms/TAKATSU%20ANALYZE%20REPORT/Question/False%20Reject_M.%20Dzaki_Muhammad%20Dzaki%20Taufi%2014.png","id":"01D6UVHSMZNJFDQIO7HZEJUTBZFV4XYDEQ","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</si>
  <si>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https://epsongroup-my.sharepoint.com/personal/brian_ramdhani_epson_co_id/Documents/Apps/Microsoft%20Forms/TAKATSU%20ANALYZE%20REPORT/Question/False%20Reject_M.%20Dzaki_Muhammad%20Dzaki%20Taufi%2014.png</t>
  </si>
  <si>
    <t>kc6sQ-boc0Cd9S8Y3Fjq88gACzgZ</t>
  </si>
  <si>
    <t>False Reject, After Re Initial Ink Charge Product become OK</t>
  </si>
  <si>
    <t xml:space="preserve">No Need </t>
  </si>
  <si>
    <t>AR251014013836</t>
  </si>
  <si>
    <t>X7EV001730</t>
  </si>
  <si>
    <t>emY0_i6f3kOLND9Xas-qNMgAEtW0</t>
  </si>
  <si>
    <t>AR251015080701</t>
  </si>
  <si>
    <t>Saat proses printing</t>
  </si>
  <si>
    <t>DZKfHtHeFEOoYyFxiz4XAcgAKtPi</t>
  </si>
  <si>
    <t>AR251015020010</t>
  </si>
  <si>
    <t>Saat print inkcharge</t>
  </si>
  <si>
    <t>Xp0vucknfkGhTh9t880G1sgAM5Ax</t>
  </si>
  <si>
    <t>AR251015020122</t>
  </si>
  <si>
    <t>X7EV001748</t>
  </si>
  <si>
    <t>iSfqOxyLI0SNH-6mzLmPe8gANY8L</t>
  </si>
  <si>
    <t>AR251015020313</t>
  </si>
  <si>
    <t>X7EV001751</t>
  </si>
  <si>
    <t>Fatal error 5824</t>
  </si>
  <si>
    <t>Q8sjRP23v0WYKQTHMfeWg8gAIs10</t>
  </si>
  <si>
    <t>AR251016104446</t>
  </si>
  <si>
    <t>RP251023110837</t>
  </si>
  <si>
    <t>X7FQ009793</t>
  </si>
  <si>
    <t>Jig 5</t>
  </si>
  <si>
    <t>During Initial Printing Process, Found NG Unstable Printing on Nozzle Print Result</t>
  </si>
  <si>
    <t>[{"name":"Picture2_Muhammad Dzaki Taufi 1.png","link":"https://epsongroup-my.sharepoint.com/personal/brian_ramdhani_epson_co_id/Documents/Apps/Microsoft%20Forms/TAKATSU%20ANALYZE%20REPORT/Question/Picture2_Muhammad%20Dzaki%20Taufi%201.png","id":"01D6UVHSJX7A3FOB4TMVG22IC6IVZTSHFE","type":null,"size":1534429,"referenceId":"01D6UVHSOX5DG5RX522VGYFCV365U3UBU3","driveId":"b!7qg8FsnQY0iiT36_x6Novv_3J9v4MtxPsytkCbb-ZPz3ScQFcxKeSqI2jw7AAtnZ","status":1,"uploadSessionUrl":null}]</t>
  </si>
  <si>
    <t>https://epsongroup-my.sharepoint.com/personal/brian_ramdhani_epson_co_id/Documents/Apps/Microsoft%20Forms/TAKATSU%20ANALYZE%20REPORT/Question/Picture2_Muhammad%20Dzaki%20Taufi%201.png</t>
  </si>
  <si>
    <t>Wo7iq8vO1kK5tzyVaht2qcgAIGEh</t>
  </si>
  <si>
    <t>Change new PH become OK. (NG PH still keep for deep analyze)</t>
  </si>
  <si>
    <t>AR251017091853</t>
  </si>
  <si>
    <t>X7FQ009823</t>
  </si>
  <si>
    <t>FJ2h3xYzJ0K2IyiKUE0uvsgAJEcL</t>
  </si>
  <si>
    <t>AR251017055817</t>
  </si>
  <si>
    <t>RP251017061217</t>
  </si>
  <si>
    <t>X7EN006953</t>
  </si>
  <si>
    <t>Maintenan</t>
  </si>
  <si>
    <t>Maintenance Box not installed</t>
  </si>
  <si>
    <t>During initialize at PG Adjustment Stage</t>
  </si>
  <si>
    <t>When initialize product at PG Stage, found Maintenance Box not installed.</t>
  </si>
  <si>
    <t>When initialize product at PG Stage, found Maintenance Box not installed</t>
  </si>
  <si>
    <t>[{"name":"Maintenance Box not installed_Zainul Muttaqin.jpg","link":"https://epsongroup-my.sharepoint.com/personal/brian_ramdhani_epson_co_id/Documents/Apps/Microsoft%20Forms/TAKATSU%20ANALYZE%20REPORT/Question/Maintenance%20Box%20not%20installed_Zainul%20Muttaqin.jpg","id":"01D6UVHSLJ7HMBVXP5MFALB7637KHDNF4K","type":null,"size":63646,"referenceId":"01D6UVHSOX5DG5RX522VGYFCV365U3UBU3","driveId":"b!7qg8FsnQY0iiT36_x6Novv_3J9v4MtxPsytkCbb-ZPz3ScQFcxKeSqI2jw7AAtnZ","status":1,"uploadSessionUrl":null}]</t>
  </si>
  <si>
    <t>https://epsongroup-my.sharepoint.com/personal/brian_ramdhani_epson_co_id/Documents/Apps/Microsoft%20Forms/TAKATSU%20ANALYZE%20REPORT/Question/Maintenance%20Box%20not%20installed_Zainul%20Muttaqin.jpg</t>
  </si>
  <si>
    <t>wGYF7VkZc0SpTw6IfGKZbMgAPwri</t>
  </si>
  <si>
    <t>FFC MTB Holder tear, possibility caused by sub assy assembly.</t>
  </si>
  <si>
    <t>Change MTB Holder, continue review assembly FFC MTB Holder by sub assy.</t>
  </si>
  <si>
    <t>AR251021021501</t>
  </si>
  <si>
    <t>X7F4009608</t>
  </si>
  <si>
    <t>NZNGBmRlWUallpKIxfApUcgAB02z</t>
  </si>
  <si>
    <t>AR251027073255</t>
  </si>
  <si>
    <t>X7EP000705</t>
  </si>
  <si>
    <t>h6emkGqoAEmk6FucfxtZS8gANScX</t>
  </si>
  <si>
    <t>AR251030081921</t>
  </si>
  <si>
    <t>X7ER001369</t>
  </si>
  <si>
    <t>LoNg9Sv8VUiExtoe3gOajsgADqp8</t>
  </si>
  <si>
    <t>AR251031125437</t>
  </si>
  <si>
    <t>X7EV001769</t>
  </si>
  <si>
    <t>Fatal error 205627</t>
  </si>
  <si>
    <t>UONz1ZkIcESJLSKem32d08gAGsa5</t>
  </si>
  <si>
    <t>AR251104073124</t>
  </si>
  <si>
    <t>RP251104060826</t>
  </si>
  <si>
    <t>X7EV001788</t>
  </si>
  <si>
    <t>During Initial Power ON at Printing Stage</t>
  </si>
  <si>
    <t>During Initial Power On, Product not Response</t>
  </si>
  <si>
    <t>[{"name":"FFC Slanting_Muhammad Dzaki Taufi.jpg","link":"https://epsongroup-my.sharepoint.com/personal/brian_ramdhani_epson_co_id/Documents/Apps/Microsoft%20Forms/TAKATSU%20ANALYZE%20REPORT/Question/FFC%20Slanting_Muhammad%20Dzaki%20Taufi.jpg","id":"01D6UVHSNFXIASU6WCNJCYK5MLYULXPWB6","type":null,"size":1388995,"referenceId":"01D6UVHSOX5DG5RX522VGYFCV365U3UBU3","driveId":"b!7qg8FsnQY0iiT36_x6Novv_3J9v4MtxPsytkCbb-ZPz3ScQFcxKeSqI2jw7AAtnZ","status":1,"uploadSessionUrl":null}]</t>
  </si>
  <si>
    <t>https://epsongroup-my.sharepoint.com/personal/brian_ramdhani_epson_co_id/Documents/Apps/Microsoft%20Forms/TAKATSU%20ANALYZE%20REPORT/Question/FFC%20Slanting_Muhammad%20Dzaki%20Taufi.jpg</t>
  </si>
  <si>
    <t>zMd6wUEyzE2HC8XI1uXNdMgAPVVE</t>
  </si>
  <si>
    <t>FFC Panel not Full Insert</t>
  </si>
  <si>
    <t>Re-Insert FFC Panel, Product Become OK</t>
  </si>
  <si>
    <t>AR251106015024</t>
  </si>
  <si>
    <t>RP251110101849</t>
  </si>
  <si>
    <t>X7ER001394</t>
  </si>
  <si>
    <t>During Check Result Printin</t>
  </si>
  <si>
    <t>[{"name":"DO X7ER001394_Muhammad Dzaki Taufi.png","link":"https://epsongroup-my.sharepoint.com/personal/brian_ramdhani_epson_co_id/Documents/Apps/Microsoft%20Forms/TAKATSU%20ANALYZE%20REPORT/Question/DO%20X7ER001394_Muhammad%20Dzaki%20Taufi.png","id":"01D6UVHSNZJXGBJXGK3RAKPU364QF53EQJ","type":null,"size":434244,"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</si>
  <si>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https://epsongroup-my.sharepoint.com/personal/brian_ramdhani_epson_co_id/Documents/Apps/Microsoft%20Forms/TAKATSU%20ANALYZE%20REPORT/Question/DO%20X7ER001394_Muhammad%20Dzaki%20Taufi.png</t>
  </si>
  <si>
    <t>sI2ut73wlUOZQssOlhCBhsgAB7_9</t>
  </si>
  <si>
    <t>Foreign Material inside PH Nozzle (Nz Organic)</t>
  </si>
  <si>
    <t>Change New PH, Product become OK</t>
  </si>
  <si>
    <t>AR251114103941</t>
  </si>
  <si>
    <t>RP251124013539</t>
  </si>
  <si>
    <t>X7FP006896</t>
  </si>
  <si>
    <t>During Settings 1 Inspection (PG Stage)</t>
  </si>
  <si>
    <t>Cr measurment</t>
  </si>
  <si>
    <t>During Process CR Measurement, Found Result NG on Display</t>
  </si>
  <si>
    <t>[{"name":"WhatsApp Image 2025-11-24 at 13.18.59_Muhammad Dzaki Taufi.jpeg","link":"https://epsongroup-my.sharepoint.com/personal/brian_ramdhani_epson_co_id/Documents/Apps/Microsoft%20Forms/TAKATSU%20ANALYZE%20REPORT/Question/WhatsApp%20Image%202025-11-24%20at%2013.18.59_Muhammad%20Dzaki%20Taufi.jpeg","id":"01D6UVHSOQ6WDEQGGNH5DZDALZZ2G67QJM","type":null,"size":83146,"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</si>
  <si>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https://epsongroup-my.sharepoint.com/personal/brian_ramdhani_epson_co_id/Documents/Apps/Microsoft%20Forms/TAKATSU%20ANALYZE%20REPORT/Question/WhatsApp%20Image%202025-11-24%20at%2013.18.59_Muhammad%20Dzaki%20Taufi.jpeg</t>
  </si>
  <si>
    <t>z8Ke6EuGfEqpoJKAuEcuucgAEfh_</t>
  </si>
  <si>
    <t xml:space="preserve">Result CR Measurement NG </t>
  </si>
  <si>
    <t>(Incurred ID 1[5] Caloc Get Value Error, Current_H Over, Current_L Over, Current_chk Over</t>
  </si>
  <si>
    <t xml:space="preserve">Carriage NG </t>
  </si>
  <si>
    <t>Change Carriage Unit Become OK</t>
  </si>
  <si>
    <t xml:space="preserve">1. Result CR Measurement NG 
2. (Incurred ID 1[5] Caloc Get Value Error, Current_H Over, Current_L Over, Current_chk Over
3. Carriage NG 
4. Change Carriage Unit Become OK
5. </t>
  </si>
  <si>
    <t>Carriage NG</t>
  </si>
  <si>
    <t>Change Carriage Unit, Product Become OK</t>
  </si>
  <si>
    <t>AR251201083925</t>
  </si>
  <si>
    <t>RP260108072947</t>
  </si>
  <si>
    <t>X7FQ009901</t>
  </si>
  <si>
    <t xml:space="preserve">Assembly </t>
  </si>
  <si>
    <t>Assembly Loose</t>
  </si>
  <si>
    <t xml:space="preserve">Frame bending (holder starwheel loose) </t>
  </si>
  <si>
    <t>During PG Stage Inspection</t>
  </si>
  <si>
    <t>During Assembly Holder Starwheel assy to Product, Feels Loose making not Full Insert</t>
  </si>
  <si>
    <t>[{"name":"False Reject_M. Dzaki_Muhammad Dzaki Taufi 15.png","link":"https://epsongroup-my.sharepoint.com/personal/brian_ramdhani_epson_co_id/Documents/Apps/Microsoft%20Forms/TAKATSU%20ANALYZE%20REPORT/Question/False%20Reject_M.%20Dzaki_Muhammad%20Dzaki%20Taufi%2015.png","id":"01D6UVHSOF4YWJQMUU3NFZX7IRNVPODUSN","type":null,"size":1313,"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</si>
  <si>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https://epsongroup-my.sharepoint.com/personal/brian_ramdhani_epson_co_id/Documents/Apps/Microsoft%20Forms/TAKATSU%20ANALYZE%20REPORT/Question/False%20Reject_M.%20Dzaki_Muhammad%20Dzaki%20Taufi%2015.png</t>
  </si>
  <si>
    <t>MbhV_XR4tkO61CyRG7ZSBcgAGAuH</t>
  </si>
  <si>
    <t>Feel Loose in Hole during assembly Holder Starwheel</t>
  </si>
  <si>
    <t>Suspect Hole or Frame Base Unpost</t>
  </si>
  <si>
    <t>After Check &amp; Confirmation in Line not identification as Loose</t>
  </si>
  <si>
    <t>Condition Frame &amp; Hole OK</t>
  </si>
  <si>
    <t>1. Feel Loose in Hole during assembly Holder Starwheel
2. Suspect Hole or Frame Base Unpost
3. After Check &amp; Confirmation in Line not identification as Loose
4. Condition Frame &amp; Hole OK
5. False Reject</t>
  </si>
  <si>
    <t>False Reject. After Confirmation in line, Not Identification as Loose Hole (Frame &amp; Hole OK Condition)</t>
  </si>
  <si>
    <t>No Need Temporary Action</t>
  </si>
  <si>
    <t>AR251201035706</t>
  </si>
  <si>
    <t>RP260108071617</t>
  </si>
  <si>
    <t>X7FQ009906</t>
  </si>
  <si>
    <t>During Initial Printing Process, Found NG Dot Omission on Result Nozzle Print</t>
  </si>
  <si>
    <t>[{"name":"X7FQ009906_Muhammad Dzaki Taufi.png","link":"https://epsongroup-my.sharepoint.com/personal/brian_ramdhani_epson_co_id/Documents/Apps/Microsoft%20Forms/TAKATSU%20ANALYZE%20REPORT/Question/X7FQ009906_Muhammad%20Dzaki%20Taufi.png","id":"01D6UVHSJ3OQBKHWLQP5BJXGMK4KGYM76S","type":null,"size":809116,"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</si>
  <si>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https://epsongroup-my.sharepoint.com/personal/brian_ramdhani_epson_co_id/Documents/Apps/Microsoft%20Forms/TAKATSU%20ANALYZE%20REPORT/Question/X7FQ009906_Muhammad%20Dzaki%20Taufi.png</t>
  </si>
  <si>
    <t>ozdCn3e86ECJEq57PYUM2sgAKUEH</t>
  </si>
  <si>
    <t>NG DOT OMISSION</t>
  </si>
  <si>
    <t xml:space="preserve">Result Nozzle Print NG </t>
  </si>
  <si>
    <t xml:space="preserve">Suspect PH NG </t>
  </si>
  <si>
    <t>(Possibility any F/M or Bubble Inside PH or Electrical Inside PH NG)</t>
  </si>
  <si>
    <t>Need Deep Analyze with PH Dept</t>
  </si>
  <si>
    <t>1. NG DOT OMISSION
2. Result Nozzle Print NG 
3. Suspect PH NG 
4. (Possibility any F/M or Bubble Inside PH or Electrical Inside PH NG)
5. Need Deep Analyze with PH Dept</t>
  </si>
  <si>
    <t>PH NG (Possibility any F/M or Bubble Inside PH or Electrical Inside PH NG)</t>
  </si>
  <si>
    <t>Change New PH, Become OK. NG PH still keep at MA</t>
  </si>
  <si>
    <t>AR251203093857</t>
  </si>
  <si>
    <t>X7FQ009950</t>
  </si>
  <si>
    <t>hozX3JA0vUKnqodO2vxIGcgAG5kO</t>
  </si>
  <si>
    <t>AR251203120001</t>
  </si>
  <si>
    <t>RP251229102751</t>
  </si>
  <si>
    <t>X7FQ009944</t>
  </si>
  <si>
    <t>After wipping</t>
  </si>
  <si>
    <t>During Printing Process, Found NG Unstable Printing on Nozzle Print Result</t>
  </si>
  <si>
    <t>[{"name":"X7FQ009944 UP NVT_Muhammad Dzaki Taufi.png","link":"https://epsongroup-my.sharepoint.com/personal/brian_ramdhani_epson_co_id/Documents/Apps/Microsoft%20Forms/TAKATSU%20ANALYZE%20REPORT/Question/X7FQ009944%20UP%20NVT_Muhammad%20Dzaki%20Taufi.png","id":"01D6UVHSLCDKJPQNAGLFH2GECGQ3WIW6CE","type":null,"size":974157,"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</si>
  <si>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https://epsongroup-my.sharepoint.com/personal/brian_ramdhani_epson_co_id/Documents/Apps/Microsoft%20Forms/TAKATSU%20ANALYZE%20REPORT/Question/X7FQ009944%20UP%20NVT_Muhammad%20Dzaki%20Taufi.png</t>
  </si>
  <si>
    <t>qkkCohzAg0ylxCMUt_HwKcgAAZRp</t>
  </si>
  <si>
    <t>Change new PH, Become OK. NG PH keep in MA for continue confirmation</t>
  </si>
  <si>
    <t>AR251205113502</t>
  </si>
  <si>
    <t>X7EN006980</t>
  </si>
  <si>
    <t>EZy4L3XzcEeRNiqMUVMP3cgAC-fz</t>
  </si>
  <si>
    <t>AR251211071520</t>
  </si>
  <si>
    <t>X7FQ009994</t>
  </si>
  <si>
    <t>2qUeVq9z7EisXn_fti_JhsgAO_5r</t>
  </si>
  <si>
    <t>AR251212091500</t>
  </si>
  <si>
    <t>RP251212013618</t>
  </si>
  <si>
    <t>X7F8000494</t>
  </si>
  <si>
    <t>During Printing Process, Found NG Unstable Print on Nozzle Print Result</t>
  </si>
  <si>
    <t>[{"name":"X7F8000494 NG PH UP_Muhammad Dzaki Taufi.png","link":"https://epsongroup-my.sharepoint.com/personal/brian_ramdhani_epson_co_id/Documents/Apps/Microsoft%20Forms/TAKATSU%20ANALYZE%20REPORT/Question/X7F8000494%20NG%20PH%20UP_Muhammad%20Dzaki%20Taufi.png","id":"01D6UVHSPMYQHPXDJQNZHJ6FJP65T2HUDQ","type":null,"size":1890793,"referenceId":"01D6UVHSOX5DG5RX522VGYFCV365U3UBU3","driveId":"b!7qg8FsnQY0iiT36_x6Novv_3J9v4MtxPsytkCbb-ZPz3ScQFcxKeSqI2jw7AAtnZ","status":1,"uploadSessionUrl":null,"badgerToken":null}]</t>
  </si>
  <si>
    <t>https://epsongroup-my.sharepoint.com/personal/brian_ramdhani_epson_co_id/Documents/Apps/Microsoft%20Forms/TAKATSU%20ANALYZE%20REPORT/Question/X7F8000494%20NG%20PH%20UP_Muhammad%20Dzaki%20Taufi.png</t>
  </si>
  <si>
    <t>J1noTkesTkSw_AZQrivqncgALwmS</t>
  </si>
  <si>
    <t>PH NG, Suspect F/M or Bubble or Electrical Inside PH</t>
  </si>
  <si>
    <t>Change New PH, Become OK. PH NG keep to deep analyze</t>
  </si>
  <si>
    <t>AR251216032557</t>
  </si>
  <si>
    <t>X7FQ010005</t>
  </si>
  <si>
    <t xml:space="preserve">Air leak check ng </t>
  </si>
  <si>
    <t>Saat proses air leak chek</t>
  </si>
  <si>
    <t>ck0u5SRgvk2F_4NGsVWsn8gAMRRr</t>
  </si>
  <si>
    <t>AR251216032605</t>
  </si>
  <si>
    <t>AR251217114637</t>
  </si>
  <si>
    <t>X7FQ010018</t>
  </si>
  <si>
    <t>jH3GdKjWr06hFeKeThwA_MgABCX-</t>
  </si>
  <si>
    <t>AR251219022756</t>
  </si>
  <si>
    <t>X7EV001847</t>
  </si>
  <si>
    <t xml:space="preserve">Saat proses shutter cek </t>
  </si>
  <si>
    <t>ji45n6KIlEiaL_7F72nTn8gAAZ1N</t>
  </si>
  <si>
    <t>AR251219022927</t>
  </si>
  <si>
    <t>X7ES000298</t>
  </si>
  <si>
    <t>jCodwnrfpEaXOjSHJ_bspMgAGP46</t>
  </si>
  <si>
    <t>Defect_Name</t>
  </si>
  <si>
    <t>Total_Qty</t>
  </si>
  <si>
    <t>Percentage</t>
  </si>
  <si>
    <t>Task_ID</t>
  </si>
  <si>
    <t>Severity</t>
  </si>
  <si>
    <t>MFd0s0c60UuKz9gykctZ9MgAFpL-</t>
  </si>
  <si>
    <t>2Bxf-I2UBU2DtuoOzc2cjMgAGyar</t>
  </si>
  <si>
    <t>TKSAL-018</t>
  </si>
  <si>
    <t>TKSFE-001</t>
  </si>
  <si>
    <t>TKSAL-012</t>
  </si>
  <si>
    <t>TKSAL-014</t>
  </si>
  <si>
    <t>TKSAL-020</t>
  </si>
  <si>
    <t>TKSAL-029</t>
  </si>
  <si>
    <t xml:space="preserve">Abnormal Panel </t>
  </si>
  <si>
    <t>Platen Fan Adjustment NG</t>
  </si>
  <si>
    <t>TKSAL-021</t>
  </si>
  <si>
    <t>Fatal Error 5834</t>
  </si>
  <si>
    <t>TKSFE-008</t>
  </si>
  <si>
    <t>AR250106074235</t>
  </si>
  <si>
    <t>Low</t>
  </si>
  <si>
    <t>Skew during printing on peeler</t>
  </si>
  <si>
    <t>[{"name":"skew printing_Nazar Bagus H..png","link":"https://epsongroup-my.sharepoint.com/personal/brian_ramdhani_epson_co_id/Documents/Apps/Microsoft%20Forms/TAKATSU%20ANALYZE%20REPORT/Question/skew%20printing_Nazar%20Bagus%20H..png","id":"01D6UVHSPS33Y4BWTZFBEKYB65OMZCSYMN","type":null,"size":263423,"referenceId":"01D6UVHSOX5DG5RX522VGYFCV365U3UBU3","driveId":"b!7qg8FsnQY0iiT36_x6Novv_3J9v4MtxPsytkCbb-ZPz3ScQFcxKeSqI2jw7AAtnZ","status":1,"uploadSessionUrl":null}]</t>
  </si>
  <si>
    <t>https://epsongroup-my.sharepoint.com/personal/brian_ramdhani_epson_co_id/Documents/Apps/Microsoft%20Forms/TAKATSU%20ANALYZE%20REPORT/Question/skew%20printing_Nazar%20Bagus%20H..png</t>
  </si>
  <si>
    <t>dHrh6qQXjUi6VDHBsF4FJcgADdUe</t>
  </si>
  <si>
    <t>Frame Peeler Char CL&amp;CM NG</t>
  </si>
  <si>
    <t>Temporary bending manually frame peeler until OK. Permanent A/I improve char</t>
  </si>
  <si>
    <t>AR250106080119</t>
  </si>
  <si>
    <t>[{"name":"skew printing_Nazar Bagus H. 1.png","link":"https://epsongroup-my.sharepoint.com/personal/brian_ramdhani_epson_co_id/Documents/Apps/Microsoft%20Forms/TAKATSU%20ANALYZE%20REPORT/Question/skew%20printing_Nazar%20Bagus%20H.%201.png","id":"01D6UVHSMIQONQT5OK6JE3UY7UG3GF4ZYM","type":null,"size":263423,"referenceId":"01D6UVHSOX5DG5RX522VGYFCV365U3UBU3","driveId":"b!7qg8FsnQY0iiT36_x6Novv_3J9v4MtxPsytkCbb-ZPz3ScQFcxKeSqI2jw7AAtnZ","status":1,"uploadSessionUrl":null}]</t>
  </si>
  <si>
    <t>https://epsongroup-my.sharepoint.com/personal/brian_ramdhani_epson_co_id/Documents/Apps/Microsoft%20Forms/TAKATSU%20ANALYZE%20REPORT/Question/skew%20printing_Nazar%20Bagus%20H.%201.png</t>
  </si>
  <si>
    <t>wGCa2G6fmECO0uLonVNv2cgADOZq</t>
  </si>
  <si>
    <t>Frame Peeler char CL&amp;CM NG</t>
  </si>
  <si>
    <t>Bending Manually until OK. Temporary A/I improve char CL&amp;CM</t>
  </si>
  <si>
    <t>AR250110113540</t>
  </si>
  <si>
    <t xml:space="preserve">Saat proses print 3,5(1st) </t>
  </si>
  <si>
    <t>During paper loading with print menu 3.5 (1st), found paper become floating</t>
  </si>
  <si>
    <t>[{"name":"Abnormal Loading_Zainul Muttaqin.png","link":"https://epsongroup-my.sharepoint.com/personal/brian_ramdhani_epson_co_id/Documents/Apps/Microsoft%20Forms/TAKATSU%20ANALYZE%20REPORT/Question/Abnormal%20Loading_Zainul%20Muttaqin.png","id":"01D6UVHSJOGD2P25AVKNAYQ56PA46WKLW3","type":null,"size":166771,"referenceId":"01D6UVHSOX5DG5RX522VGYFCV365U3UBU3","driveId":"b!7qg8FsnQY0iiT36_x6Novv_3J9v4MtxPsytkCbb-ZPz3ScQFcxKeSqI2jw7AAtnZ","status":1,"uploadSessionUrl":null}]</t>
  </si>
  <si>
    <t>https://epsongroup-my.sharepoint.com/personal/brian_ramdhani_epson_co_id/Documents/Apps/Microsoft%20Forms/TAKATSU%20ANALYZE%20REPORT/Question/Abnormal%20Loading_Zainul%20Muttaqin.png</t>
  </si>
  <si>
    <t>qfacB2nhRkuSYIwArCR37sgAPS1b</t>
  </si>
  <si>
    <t>Sheet peeler antistatic not neat, assembly by OPR</t>
  </si>
  <si>
    <t>Reminding and retraining OPR must be follow SWP dueing assembly</t>
  </si>
  <si>
    <t>AR250203014425</t>
  </si>
  <si>
    <t>Jig 05 --  produk after change ph</t>
  </si>
  <si>
    <t>During Head Incline, Value NG Max</t>
  </si>
  <si>
    <t>[{"name":"False Reject_Nazar Bagus H. 2.PNG","link":"https://epsongroup-my.sharepoint.com/personal/brian_ramdhani_epson_co_id/Documents/Apps/Microsoft%20Forms/TAKATSU%20ANALYZE%20REPORT/Question/False%20Reject_Nazar%20Bagus%20H.%202.PNG","id":"01D6UVHSN4AIP4MBZAENE2H6MHOAG37II7","type":null,"size":1313,"referenceId":"01D6UVHSOX5DG5RX522VGYFCV365U3UBU3","driveId":"b!7qg8FsnQY0iiT36_x6Novv_3J9v4MtxPsytkCbb-ZPz3ScQFcxKeSqI2jw7AAtnZ","status":1,"uploadSessionUrl":null}]</t>
  </si>
  <si>
    <t>https://epsongroup-my.sharepoint.com/personal/brian_ramdhani_epson_co_id/Documents/Apps/Microsoft%20Forms/TAKATSU%20ANALYZE%20REPORT/Question/False%20Reject_Nazar%20Bagus%20H.%202.PNG</t>
  </si>
  <si>
    <t>Nd-XY6bdEeJyhP-MzEQNsgAKXmV</t>
  </si>
  <si>
    <t>Operator at Stage Print Head not Reset Dial Katamuki Position after change print Head</t>
  </si>
  <si>
    <t>Re-Assy Print Head become OK</t>
  </si>
  <si>
    <t>AR250203113905</t>
  </si>
  <si>
    <t xml:space="preserve">Saat print cek 3,5 (1st) </t>
  </si>
  <si>
    <t>During the printer was run with menu print check 3.5, found 1st dot NG</t>
  </si>
  <si>
    <t>[{"name":"1st dot_Zainul Muttaqin.png","link":"https://epsongroup-my.sharepoint.com/personal/brian_ramdhani_epson_co_id/Documents/Apps/Microsoft%20Forms/TAKATSU%20ANALYZE%20REPORT/Question/1st%20dot_Zainul%20Muttaqin.png","id":"01D6UVHSJJ75CFSUUBHZH2NZPECQCIPMIC","type":null,"size":78082,"referenceId":"01D6UVHSOX5DG5RX522VGYFCV365U3UBU3","driveId":"b!7qg8FsnQY0iiT36_x6Novv_3J9v4MtxPsytkCbb-ZPz3ScQFcxKeSqI2jw7AAtnZ","status":1,"uploadSessionUrl":null}]</t>
  </si>
  <si>
    <t>https://epsongroup-my.sharepoint.com/personal/brian_ramdhani_epson_co_id/Documents/Apps/Microsoft%20Forms/TAKATSU%20ANALYZE%20REPORT/Question/1st%20dot_Zainul%20Muttaqin.png</t>
  </si>
  <si>
    <t>aGi3e64uyk-gM4CV9cSnBsgAGj6e</t>
  </si>
  <si>
    <t>Measurement plat peeler with Dial Gauge more than 0.03 mm [SA]</t>
  </si>
  <si>
    <t>Retraining and reminding OPR, to ensure must be calibration [left 0, right 0] before use dial indicator.</t>
  </si>
  <si>
    <t>AR250204090748</t>
  </si>
  <si>
    <t xml:space="preserve">Saat proses print 3,5(2nd) </t>
  </si>
  <si>
    <t>Paper Skew During Print Check 3.5 1st</t>
  </si>
  <si>
    <t>[{"name":"Peeler Open not_Nazar Bagus H..jpg","link":"https://epsongroup-my.sharepoint.com/personal/brian_ramdhani_epson_co_id/Documents/Apps/Microsoft%20Forms/TAKATSU%20ANALYZE%20REPORT/Question/Peeler%20Open%20not_Nazar%20Bagus%20H..jpg","id":"01D6UVHSL3GGCD5FGF2FF2FKIX44NFXKBP","type":null,"size":17798,"referenceId":"01D6UVHSOX5DG5RX522VGYFCV365U3UBU3","driveId":"b!7qg8FsnQY0iiT36_x6Novv_3J9v4MtxPsytkCbb-ZPz3ScQFcxKeSqI2jw7AAtnZ","status":1,"uploadSessionUrl":null}]</t>
  </si>
  <si>
    <t>https://epsongroup-my.sharepoint.com/personal/brian_ramdhani_epson_co_id/Documents/Apps/Microsoft%20Forms/TAKATSU%20ANALYZE%20REPORT/Question/Peeler%20Open%20not_Nazar%20Bagus%20H..jpg</t>
  </si>
  <si>
    <t>sPBYuawugEqM2UcaOfGuG8gADVCk</t>
  </si>
  <si>
    <t>Peeler Press Unit Not screwed properly</t>
  </si>
  <si>
    <t>Change Peeler Press with fresh Part become OK</t>
  </si>
  <si>
    <t>AR250204110823</t>
  </si>
  <si>
    <t>IcCrn0ei-0SQnU8q3wY8q8gADSno</t>
  </si>
  <si>
    <t>AR250205044454</t>
  </si>
  <si>
    <t>When roll paper loading, paper hit Edge of Plate platen and find paper curl</t>
  </si>
  <si>
    <t>[{"name":"Plate Platen Bending_Rio Rizki Khanigia.jpg","link":"https://epsongroup-my.sharepoint.com/personal/brian_ramdhani_epson_co_id/Documents/Apps/Microsoft%20Forms/TAKATSU%20ANALYZE%20REPORT/Question/Plate%20Platen%20Bending_Rio%20Rizki%20Khanigia.jpg","id":"01D6UVHSP7AEEGGZSYWNBLUZ2UUQPPFUB5","type":null,"size":113355,"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</si>
  <si>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https://epsongroup-my.sharepoint.com/personal/brian_ramdhani_epson_co_id/Documents/Apps/Microsoft%20Forms/TAKATSU%20ANALYZE%20REPORT/Question/Plate%20Platen%20Bending_Rio%20Rizki%20Khanigia.jpg</t>
  </si>
  <si>
    <t>CxD9uB33i0SOIAMMAVLx7MgACF-m</t>
  </si>
  <si>
    <t>Plate Platen Bending around 1-2 degree</t>
  </si>
  <si>
    <t>Change Palte Platen. Segregate Plate platen Stock main assy, result Pn/n [0/22]. Tomorrow feedback to Part Eng to guarantee Stock part at IEI and Vendor.</t>
  </si>
  <si>
    <t>AR241126094933</t>
  </si>
  <si>
    <t>AR241204091829</t>
  </si>
  <si>
    <t>Saat proses no 4 (platen fan adjusment)</t>
  </si>
  <si>
    <t xml:space="preserve">Not enough Suction  During Platen Fan Adjustment Check, </t>
  </si>
  <si>
    <t>[{"name":"Packing Upper deform_Nazar Bagus H..jpg","link":"https://epsongroup-my.sharepoint.com/personal/brian_ramdhani_epson_co_id/Documents/Apps/Microsoft%20Forms/TAKATSU%20ANALYZE%20REPORT/Question/Packing%20Upper%20deform_Nazar%20Bagus%20H..jpg","id":"01D6UVHSJI4IIMJNN75VB2N7GJBUBPM2FY","type":null,"size":93787,"referenceId":"01D6UVHSOX5DG5RX522VGYFCV365U3UBU3","driveId":"b!7qg8FsnQY0iiT36_x6Novv_3J9v4MtxPsytkCbb-ZPz3ScQFcxKeSqI2jw7AAtnZ","status":1,"uploadSessionUrl":null}]</t>
  </si>
  <si>
    <t>https://epsongroup-my.sharepoint.com/personal/brian_ramdhani_epson_co_id/Documents/Apps/Microsoft%20Forms/TAKATSU%20ANALYZE%20REPORT/Question/Packing%20Upper%20deform_Nazar%20Bagus%20H..jpg</t>
  </si>
  <si>
    <t>L28Pd-mtOkqE84h-4bXaxcgAPKA_</t>
  </si>
  <si>
    <t>Packing Upper deform after Change Platen Unit (Previously NG Paper Jam and Change Platen Unit)</t>
  </si>
  <si>
    <t>Re Form Packing Upper and retry in Line --&gt; Result OK</t>
  </si>
  <si>
    <t>AR250108022137</t>
  </si>
  <si>
    <t>Platen fan adjusment</t>
  </si>
  <si>
    <t>During Platen Fan Adjustment, value NG Minimum</t>
  </si>
  <si>
    <t>[{"name":"Platen Fan NG, Platen Gap_Nazar Bagus H..jpg","link":"https://epsongroup-my.sharepoint.com/personal/brian_ramdhani_epson_co_id/Documents/Apps/Microsoft%20Forms/TAKATSU%20ANALYZE%20REPORT/Question/Platen%20Fan%20NG,%20Platen%20Gap_Nazar%20Bagus%20H..jpg","id":"01D6UVHSL2J3ZKK4LR35HKH4GBACKK7NJZ","type":null,"size":55574,"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</si>
  <si>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https://epsongroup-my.sharepoint.com/personal/brian_ramdhani_epson_co_id/Documents/Apps/Microsoft%20Forms/TAKATSU%20ANALYZE%20REPORT/Question/Platen%20Fan%20NG,%20Platen%20Gap_Nazar%20Bagus%20H..jpg</t>
  </si>
  <si>
    <t>wa2Hg6noAEaJ4Mjn9p-_ssgAO1xP</t>
  </si>
  <si>
    <t>Gap on frame platen because not insert into dowel</t>
  </si>
  <si>
    <t>repair platen become OK and check all Sub Assy Platen Unit</t>
  </si>
  <si>
    <t>AR250108075823</t>
  </si>
  <si>
    <t>Saat menu platen adjusmet</t>
  </si>
  <si>
    <t>During Platen Fan Adjustment, Value NG Minimum</t>
  </si>
  <si>
    <t>[{"name":"Platen Fan NG 8 jan_Nazar Bagus H..jpg","link":"https://epsongroup-my.sharepoint.com/personal/brian_ramdhani_epson_co_id/Documents/Apps/Microsoft%20Forms/TAKATSU%20ANALYZE%20REPORT/Question/Platen%20Fan%20NG%208%20jan_Nazar%20Bagus%20H..jpg","id":"01D6UVHSOW6I54JX6ABBEIU5ZZRI4RPA7J","type":null,"size":54695,"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</si>
  <si>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https://epsongroup-my.sharepoint.com/personal/brian_ramdhani_epson_co_id/Documents/Apps/Microsoft%20Forms/TAKATSU%20ANALYZE%20REPORT/Question/Platen%20Fan%20NG%208%20jan_Nazar%20Bagus%20H..jpg</t>
  </si>
  <si>
    <t>a1r_WbJ7O0G03uEu-42dvMgAGlnw</t>
  </si>
  <si>
    <t>terdapat value produk sebelumnya</t>
  </si>
  <si>
    <t>reset semua value menggunakan kenpro menjadi OK</t>
  </si>
  <si>
    <t>AR250109073004</t>
  </si>
  <si>
    <t>Saat proses menu 4 platen fan adjustment</t>
  </si>
  <si>
    <t>During adjustment at PG Stage, found platen fan adjustment NG</t>
  </si>
  <si>
    <t>[{"name":"Platen fan adjustment_Zainul Muttaqin.png","link":"https://epsongroup-my.sharepoint.com/personal/brian_ramdhani_epson_co_id/Documents/Apps/Microsoft%20Forms/TAKATSU%20ANALYZE%20REPORT/Question/Platen%20fan%20adjustment_Zainul%20Muttaqin.png","id":"01D6UVHSLFFFBVMFAQQFHKSSJ7XO4OA67I","type":null,"size":170890,"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</si>
  <si>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https://epsongroup-my.sharepoint.com/personal/brian_ramdhani_epson_co_id/Documents/Apps/Microsoft%20Forms/TAKATSU%20ANALYZE%20REPORT/Question/Platen%20fan%20adjustment_Zainul%20Muttaqin.png</t>
  </si>
  <si>
    <t>l0NA-h58qEiE9cd2DOWy48gAMMwN</t>
  </si>
  <si>
    <t>AR250114125106</t>
  </si>
  <si>
    <t>Platen Fan Adjustment Check NG</t>
  </si>
  <si>
    <t>[{"name":"Platen Fan NG 8 jan_Nazar Bagus H. 2.jpg","link":"https://epsongroup-my.sharepoint.com/personal/brian_ramdhani_epson_co_id/Documents/Apps/Microsoft%20Forms/TAKATSU%20ANALYZE%20REPORT/Question/Platen%20Fan%20NG%208%20jan_Nazar%20Bagus%20H.%202.jpg","id":"01D6UVHSMPGIR3KENCNZC3PKDKYYBNPIZM","type":null,"size":54695,"referenceId":"01D6UVHSOX5DG5RX522VGYFCV365U3UBU3","driveId":"b!7qg8FsnQY0iiT36_x6Novv_3J9v4MtxPsytkCbb-ZPz3ScQFcxKeSqI2jw7AAtnZ","status":1,"uploadSessionUrl":null}]</t>
  </si>
  <si>
    <t>https://epsongroup-my.sharepoint.com/personal/brian_ramdhani_epson_co_id/Documents/Apps/Microsoft%20Forms/TAKATSU%20ANALYZE%20REPORT/Question/Platen%20Fan%20NG%208%20jan_Nazar%20Bagus%20H.%202.jpg</t>
  </si>
  <si>
    <t>uyxxFDEdqU2y0YzlMXER08gABOQ3</t>
  </si>
  <si>
    <t>Drum Shutter Position NG</t>
  </si>
  <si>
    <t>reset Shutter Drum Position Become OK</t>
  </si>
  <si>
    <t>RP250307013301</t>
  </si>
  <si>
    <t>AR250307084059</t>
  </si>
  <si>
    <t>During Platen Fan Adjustment, Found Value NG Low</t>
  </si>
  <si>
    <t>[{"name":"Drum SHutter NG_Nazar Bagus H..png","link":"https://epsongroup-my.sharepoint.com/personal/brian_ramdhani_epson_co_id/Documents/Apps/Microsoft%20Forms/TAKATSU%20ANALYZE%20REPORT/Question/Drum%20SHutter%20NG_Nazar%20Bagus%20H..png","id":"01D6UVHSJGJKQDAN2PDZDK42W3KDYDOYLI","type":null,"size":6932429,"referenceId":"01D6UVHSOX5DG5RX522VGYFCV365U3UBU3","driveId":"b!7qg8FsnQY0iiT36_x6Novv_3J9v4MtxPsytkCbb-ZPz3ScQFcxKeSqI2jw7AAtnZ","status":1,"uploadSessionUrl":null}]</t>
  </si>
  <si>
    <t>UrJdSMFvO0OsiiHnC7JqB8gAHJ7w</t>
  </si>
  <si>
    <t>Shutter Drum Position NG</t>
  </si>
  <si>
    <t>Remind Operator to ensure Drum Shutter Position are Open</t>
  </si>
  <si>
    <t>RP250307013540</t>
  </si>
  <si>
    <t>AR250307084222</t>
  </si>
  <si>
    <t>[{"name":"Drum SHutter NG_Nazar Bagus H. 1.png","link":"https://epsongroup-my.sharepoint.com/personal/brian_ramdhani_epson_co_id/Documents/Apps/Microsoft%20Forms/TAKATSU%20ANALYZE%20REPORT/Question/Drum%20SHutter%20NG_Nazar%20Bagus%20H.%201.png","id":"01D6UVHSKSLCBYD45GQBAZUKOXPX6RBCUL","type":null,"size":6932429,"referenceId":"01D6UVHSOX5DG5RX522VGYFCV365U3UBU3","driveId":"b!7qg8FsnQY0iiT36_x6Novv_3J9v4MtxPsytkCbb-ZPz3ScQFcxKeSqI2jw7AAtnZ","status":1,"uploadSessionUrl":null}]</t>
  </si>
  <si>
    <t>X3N29IODgU2XsOl2omA9GcgAL9Ol</t>
  </si>
  <si>
    <t>Shutter Drum Position are closed</t>
  </si>
  <si>
    <t>:</t>
  </si>
  <si>
    <t>Model/Customer</t>
  </si>
  <si>
    <t>EAI-Latin / Cody-FAR (CK243010341)</t>
  </si>
  <si>
    <t>Stage Occur</t>
  </si>
  <si>
    <t>Printing 1</t>
  </si>
  <si>
    <t>Pn/n</t>
  </si>
  <si>
    <t>1 / 104 (0.9%)</t>
  </si>
  <si>
    <t>Belt/Line</t>
  </si>
  <si>
    <t>H08 / R07</t>
  </si>
  <si>
    <t>Date/Shift</t>
  </si>
  <si>
    <t>17 February 2025 / 1st Shift</t>
  </si>
  <si>
    <t>Phenomenon Detail</t>
  </si>
  <si>
    <t>In stage Printing during process Ink Charge detect Ink cant perfectly suction and result printing nozzle blank</t>
  </si>
  <si>
    <t>Analyze Process</t>
  </si>
  <si>
    <t>Understanding</t>
  </si>
  <si>
    <t>W0 : No Ink Charge</t>
  </si>
  <si>
    <t>W1 : Product can't ink suction and print nozzle blank</t>
  </si>
  <si>
    <t>W2 : IS,DECOMP,PUMP can't properly vacuum.</t>
  </si>
  <si>
    <t>W3 : Flesh in VALVE,AP</t>
  </si>
  <si>
    <t>W4 : Part problem from injection</t>
  </si>
  <si>
    <t>W5 : Leak from inspection vacuum</t>
  </si>
  <si>
    <t>4M Potensial Cause</t>
  </si>
  <si>
    <t xml:space="preserve">MAN POWER : </t>
  </si>
  <si>
    <t xml:space="preserve">METHODE : </t>
  </si>
  <si>
    <t xml:space="preserve">MATERIALS/PART </t>
  </si>
  <si>
    <t xml:space="preserve">Machine / Jig / Tools : </t>
  </si>
  <si>
    <t>(Multiple Items)</t>
  </si>
  <si>
    <t>Row Labels</t>
  </si>
  <si>
    <t>Count of Defect Name</t>
  </si>
  <si>
    <t>Grand Total</t>
  </si>
  <si>
    <t>3 Worst Defect</t>
  </si>
  <si>
    <t>Category</t>
  </si>
  <si>
    <t>Detail Defect</t>
  </si>
  <si>
    <t>Summary Total Category</t>
  </si>
  <si>
    <t>Defect</t>
  </si>
  <si>
    <t>Qty</t>
  </si>
  <si>
    <t>Rank</t>
  </si>
  <si>
    <t>Abnormal panel  loading</t>
  </si>
  <si>
    <t>PF Scale NG</t>
  </si>
  <si>
    <t>Updare Firmware NG</t>
  </si>
  <si>
    <t>Paper detector no function</t>
  </si>
  <si>
    <t>Pf Scale cek ng</t>
  </si>
  <si>
    <t>Slack sensor 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</si>
</sst>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u/>
      <sz val="11"/>
      <color theme="10"/>
      <name val="Aptos Narrow"/>
      <family val="2"/>
      <scheme val="minor"/>
    </font>
    <font>
      <sz val="8"/>
      <name val="Aptos Narrow"/>
      <family val="2"/>
      <scheme val="minor"/>
    </font>
    <font>
      <sz val="10"/>
      <color rgb="FF000000"/>
      <name val="Courier New"/>
      <charset val="1"/>
    </font>
    <font>
      <sz val="11"/>
      <color rgb="FF000000"/>
      <name val="Aptos Narrow"/>
      <family val="2"/>
    </font>
    <font>
      <b/>
      <sz val="11"/>
      <color theme="0"/>
      <name val="Aptos Narrow"/>
      <family val="2"/>
      <scheme val="minor"/>
    </font>
    <font>
      <sz val="11"/>
      <color rgb="FF000000"/>
      <name val="Calibri"/>
      <family val="2"/>
      <charset val="1"/>
    </font>
    <font>
      <sz val="10"/>
      <color rgb="FF000000"/>
      <name val="Gill Sans MT"/>
      <family val="2"/>
      <charset val="1"/>
    </font>
    <font>
      <sz val="10"/>
      <color theme="1"/>
      <name val="Times New Roman"/>
      <family val="1"/>
      <charset val="1"/>
    </font>
    <font>
      <b/>
      <sz val="11"/>
      <color rgb="FF000000"/>
      <name val="Calibri"/>
      <family val="2"/>
      <charset val="1"/>
    </font>
    <font>
      <b/>
      <sz val="10"/>
      <color rgb="FF000000"/>
      <name val="Gill Sans MT"/>
      <family val="2"/>
      <charset val="1"/>
    </font>
    <font>
      <sz val="11"/>
      <color rgb="FF242424"/>
      <name val="Aptos Narrow"/>
      <charset val="1"/>
    </font>
    <font>
      <b/>
      <sz val="11"/>
      <color theme="1"/>
      <name val="Aptos Narrow"/>
      <family val="2"/>
      <scheme val="minor"/>
    </font>
    <font>
      <sz val="12"/>
      <color theme="1"/>
      <name val="Aptos"/>
      <family val="2"/>
    </font>
    <font>
      <b/>
      <sz val="12"/>
      <color rgb="FFFF0000"/>
      <name val="Aptos"/>
      <family val="2"/>
    </font>
    <font>
      <b/>
      <sz val="11"/>
      <color rgb="FFFF0000"/>
      <name val="Aptos Narrow"/>
      <family val="2"/>
      <scheme val="minor"/>
    </font>
    <font>
      <sz val="11"/>
      <name val="Aptos Narrow"/>
      <family val="2"/>
      <scheme val="minor"/>
    </font>
  </fonts>
  <fills count="2">
    <fill>
      <patternFill patternType="none"/>
    </fill>
    <fill>
      <patternFill patternType="gray125"/>
    </fill>
  </fills>
  <borders count="3">
    <border>
      <left/>
      <right/>
      <top/>
      <bottom/>
      <diagonal/>
    </border>
    <border>
      <left/>
      <right/>
      <top/>
      <bottom style="thin">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1" fillId="0" borderId="0" xfId="1" applyFill="1"/>
    <xf numFmtId="0" fontId="3" fillId="0" borderId="0" xfId="0" applyFont="1"/>
    <xf numFmtId="15" fontId="0" fillId="0" borderId="0" xfId="0" applyNumberFormat="1"/>
    <xf numFmtId="0" fontId="1" fillId="0" borderId="0" xfId="1" applyAlignment="1">
      <alignment vertical="top"/>
    </xf>
    <xf numFmtId="0" fontId="1" fillId="0" borderId="0" xfId="1"/>
    <xf numFmtId="0" fontId="4" fillId="0" borderId="0" xfId="0" applyFont="1"/>
    <xf numFmtId="10" fontId="0" fillId="0" borderId="0" xfId="0" applyNumberFormat="1"/>
    <xf numFmtId="0" fontId="5" fillId="0" borderId="1" xfId="0" applyFont="1" applyBorder="1"/>
    <xf numFmtId="15" fontId="5" fillId="0" borderId="1" xfId="0" applyNumberFormat="1" applyFont="1" applyBorder="1"/>
    <xf numFmtId="0" fontId="1" fillId="0" borderId="0" xfId="1" applyAlignment="1">
      <alignment wrapText="1"/>
    </xf>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5" fillId="0" borderId="0" xfId="0" applyFont="1"/>
    <xf numFmtId="15" fontId="5"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wrapText="1"/>
    </xf>
    <xf numFmtId="0" fontId="0" fillId="0" borderId="2" xfId="0" applyBorder="1"/>
    <xf numFmtId="0" fontId="13" fillId="0" borderId="2" xfId="0" applyFont="1" applyBorder="1"/>
    <xf numFmtId="0" fontId="14" fillId="0" borderId="2" xfId="0" applyFont="1" applyBorder="1" applyAlignment="1">
      <alignment horizontal="center"/>
    </xf>
    <xf numFmtId="0" fontId="15" fillId="0" borderId="2" xfId="0" applyFont="1" applyBorder="1" applyAlignment="1">
      <alignment horizontal="center"/>
    </xf>
    <xf numFmtId="0" fontId="14" fillId="0" borderId="2" xfId="0" applyFont="1" applyBorder="1" applyAlignment="1">
      <alignment horizontal="left"/>
    </xf>
    <xf numFmtId="0" fontId="13" fillId="0" borderId="2" xfId="0" applyFont="1" applyBorder="1" applyAlignment="1">
      <alignment horizontal="center"/>
    </xf>
    <xf numFmtId="0" fontId="0" fillId="0" borderId="2" xfId="0" applyBorder="1" applyAlignment="1">
      <alignment horizontal="center"/>
    </xf>
    <xf numFmtId="0" fontId="16" fillId="0" borderId="2" xfId="0" applyFont="1" applyBorder="1" applyAlignment="1">
      <alignment horizontal="center"/>
    </xf>
    <xf numFmtId="0" fontId="12" fillId="0" borderId="0" xfId="0" applyFont="1"/>
    <xf numFmtId="0" fontId="5" fillId="0" borderId="0" xfId="0" applyFont="1" applyAlignment="1">
      <alignment wrapText="1"/>
    </xf>
  </cellXfs>
  <cellStyles count="2">
    <cellStyle name="Hyperlink" xfId="1" xr:uid="{00000000-000B-0000-0000-000008000000}"/>
    <cellStyle name="標準" xfId="0" builtinId="0"/>
  </cellStyles>
  <dxfs count="13">
    <dxf>
      <numFmt numFmtId="176" formatCode="dd\-mmm\-yy"/>
    </dxf>
    <dxf>
      <border outline="0">
        <bottom style="thin">
          <color theme="4"/>
        </bottom>
      </border>
    </dxf>
    <dxf>
      <border outline="0">
        <top style="thin">
          <color theme="4"/>
        </top>
      </border>
    </dxf>
    <dxf>
      <font>
        <b/>
        <i val="0"/>
        <strike val="0"/>
        <condense val="0"/>
        <extend val="0"/>
        <outline val="0"/>
        <shadow val="0"/>
        <u val="none"/>
        <vertAlign val="baseline"/>
        <sz val="11"/>
        <color theme="0"/>
        <name val="Aptos Narrow"/>
        <family val="2"/>
        <scheme val="minor"/>
      </font>
    </dxf>
    <dxf>
      <numFmt numFmtId="14" formatCode="0.00%"/>
    </dxf>
    <dxf>
      <numFmt numFmtId="14" formatCode="0.0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alignment wrapText="0"/>
    </dxf>
    <dxf>
      <numFmt numFmtId="0" formatCode="General"/>
    </dxf>
    <dxf>
      <numFmt numFmtId="176" formatCode="dd\-mmm\-yy"/>
    </dxf>
    <dxf>
      <numFmt numFmtId="176" formatCode="dd\-mmm\-yy"/>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l Arief" refreshedDate="45831.617772106481" createdVersion="8" refreshedVersion="8" minRefreshableVersion="3" recordCount="196" xr:uid="{F0C8D283-44D8-4405-979A-9FE97E5528D3}">
  <cacheSource type="worksheet">
    <worksheetSource name="Table1"/>
  </cacheSource>
  <cacheFields count="39">
    <cacheField name="Request No" numFmtId="0">
      <sharedItems/>
    </cacheField>
    <cacheField name="RCA No" numFmtId="0">
      <sharedItems containsBlank="1"/>
    </cacheField>
    <cacheField name="Date_of_Request" numFmtId="0">
      <sharedItems containsNonDate="0" containsDate="1" containsString="0" containsBlank="1" minDate="2024-11-25T00:00:00" maxDate="2025-06-24T00:00:00" count="102">
        <d v="2024-11-25T00:00:00"/>
        <d v="2024-11-26T00:00:00"/>
        <d v="2024-11-28T00:00:00"/>
        <d v="2024-12-02T00:00:00"/>
        <d v="2024-12-03T00:00:00"/>
        <d v="2024-12-04T00:00:00"/>
        <d v="2024-12-05T00:00:00"/>
        <m/>
        <d v="2024-12-09T00:00:00"/>
        <d v="2024-12-10T00:00:00"/>
        <d v="2024-12-11T00:00:00"/>
        <d v="2024-12-12T00:00:00"/>
        <d v="2024-12-16T00:00:00"/>
        <d v="2024-12-17T00:00:00"/>
        <d v="2024-12-18T00:00:00"/>
        <d v="2024-12-19T00:00:00"/>
        <d v="2024-12-20T00:00:00"/>
        <d v="2024-12-23T00:00:00"/>
        <d v="2024-12-24T00:00:00"/>
        <d v="2024-12-31T00:00:00"/>
        <d v="2025-01-02T00:00:00"/>
        <d v="2025-01-03T00:00:00"/>
        <d v="2025-01-08T00:00:00"/>
        <d v="2025-01-09T00:00:00"/>
        <d v="2025-01-10T00:00:00"/>
        <d v="2025-01-13T00:00:00"/>
        <d v="2025-01-14T00:00:00"/>
        <d v="2025-01-15T00:00:00"/>
        <d v="2025-01-16T00:00:00"/>
        <d v="2025-01-21T00:00:00"/>
        <d v="2025-01-24T00:00:00"/>
        <d v="2025-01-28T00:00:00"/>
        <d v="2025-01-30T00:00:00"/>
        <d v="2025-01-31T00:00:00"/>
        <d v="2025-02-03T00:00:00"/>
        <d v="2025-02-04T00:00:00"/>
        <d v="2025-02-05T00:00:00"/>
        <d v="2025-02-06T00:00:00"/>
        <d v="2025-02-07T00:00:00"/>
        <d v="2025-02-10T00:00:00"/>
        <d v="2025-02-11T00:00:00"/>
        <d v="2025-02-17T00:00:00"/>
        <d v="2025-02-18T00:00:00"/>
        <d v="2025-02-19T00:00:00"/>
        <d v="2025-02-24T00:00:00"/>
        <d v="2025-02-25T00:00:00"/>
        <d v="2025-02-26T00:00:00"/>
        <d v="2025-02-27T00:00:00"/>
        <d v="2025-03-03T00:00:00"/>
        <d v="2025-03-04T00:00:00"/>
        <d v="2025-03-05T00:00:00"/>
        <d v="2025-03-06T00:00:00"/>
        <d v="2025-03-07T00:00:00"/>
        <d v="2025-03-10T00:00:00"/>
        <d v="2025-03-11T00:00:00"/>
        <d v="2025-03-12T00:00:00"/>
        <d v="2025-03-13T00:00:00"/>
        <d v="2025-03-14T00:00:00"/>
        <d v="2025-03-15T00:00:00"/>
        <d v="2025-03-18T00:00:00"/>
        <d v="2025-03-25T00:00:00"/>
        <d v="2025-04-07T00:00:00"/>
        <d v="2025-04-08T00:00:00"/>
        <d v="2025-04-09T00:00:00"/>
        <d v="2025-04-10T00:00:00"/>
        <d v="2025-04-11T00:00:00"/>
        <d v="2025-04-14T00:00:00"/>
        <d v="2025-04-15T00:00:00"/>
        <d v="2025-04-16T00:00:00"/>
        <d v="2025-04-21T00:00:00"/>
        <d v="2025-04-22T00:00:00"/>
        <d v="2025-04-23T00:00:00"/>
        <d v="2025-04-24T00:00:00"/>
        <d v="2025-04-25T00:00:00"/>
        <d v="2025-04-29T00:00:00"/>
        <d v="2025-04-30T00:00:00"/>
        <d v="2025-05-05T00:00:00"/>
        <d v="2025-05-06T00:00:00"/>
        <d v="2025-05-07T00:00:00"/>
        <d v="2025-05-08T00:00:00"/>
        <d v="2025-05-13T00:00:00"/>
        <d v="2025-05-14T00:00:00"/>
        <d v="2025-05-15T00:00:00"/>
        <d v="2025-05-19T00:00:00"/>
        <d v="2025-05-21T00:00:00"/>
        <d v="2025-05-22T00:00:00"/>
        <d v="2025-05-23T00:00:00"/>
        <d v="2025-05-26T00:00:00"/>
        <d v="2025-05-27T00:00:00"/>
        <d v="2025-05-28T00:00:00"/>
        <d v="2025-05-30T00:00:00"/>
        <d v="2025-06-02T00:00:00"/>
        <d v="2025-06-03T00:00:00"/>
        <d v="2025-06-09T00:00:00"/>
        <d v="2025-06-10T00:00:00"/>
        <d v="2025-06-11T00:00:00"/>
        <d v="2025-06-13T00:00:00"/>
        <d v="2025-06-16T00:00:00"/>
        <d v="2025-06-17T00:00:00"/>
        <d v="2025-06-18T00:00:00"/>
        <d v="2025-06-19T00:00:00"/>
        <d v="2025-06-23T00:00:00"/>
      </sharedItems>
    </cacheField>
    <cacheField name="Date_of_Report" numFmtId="0">
      <sharedItems containsNonDate="0" containsDate="1" containsString="0" containsBlank="1" minDate="2025-02-11T00:00:00" maxDate="2025-06-20T00:00:00"/>
    </cacheField>
    <cacheField name="Model" numFmtId="0">
      <sharedItems/>
    </cacheField>
    <cacheField name="Customer" numFmtId="0">
      <sharedItems containsNonDate="0" containsString="0" containsBlank="1"/>
    </cacheField>
    <cacheField name="Serial Number" numFmtId="0">
      <sharedItems containsNonDate="0" containsString="0" containsBlank="1"/>
    </cacheField>
    <cacheField name="Def_ID" numFmtId="0">
      <sharedItems/>
    </cacheField>
    <cacheField name="Official_Defect_Name" numFmtId="0">
      <sharedItems containsBlank="1"/>
    </cacheField>
    <cacheField name="Defect Name" numFmtId="0">
      <sharedItems count="74">
        <s v="Abnormal PGU Movement"/>
        <s v="Platen Fan Adjustment NG"/>
        <s v="DO"/>
        <s v="DMAH"/>
        <s v="Fatal Error 6727"/>
        <s v="Paper Jam"/>
        <s v="PF Measurement NG"/>
        <s v="MNU Measurement NG"/>
        <s v="DMAV"/>
        <s v="Shutter Check Noise"/>
        <s v="Abnormal Paper Loading"/>
        <s v="Fatal Error 5151"/>
        <s v="Abnormal Power On"/>
        <s v="CSIC Check NG"/>
        <s v="Unstable Printing"/>
        <s v="Abnormal CR Movement"/>
        <s v="Ink Drop"/>
        <s v="Fatal Error 205602"/>
        <s v="Ink End Sensor NG"/>
        <s v="Printing Noise"/>
        <s v="Abnormal Noise"/>
        <s v="Peeler Measurement NG"/>
        <s v="Initial Setting NG"/>
        <s v="Smear Print"/>
        <s v="Miss Piping NG"/>
        <s v="CR Measurement NG"/>
        <s v="No Power"/>
        <s v="Shutter Check NG"/>
        <s v="Peeler Unit Noise"/>
        <s v="TEST"/>
        <s v="Cover paper guide bending"/>
        <s v="Abnormal BID "/>
        <s v="Air chek ng"/>
        <s v="Paper dent"/>
        <s v="CABLE HEAD UNPOST"/>
        <s v="ABNORMAL BID"/>
        <s v="Fatal error 005839"/>
        <s v="fetal error 005455"/>
        <s v="Noise "/>
        <s v="Fatal error 004417"/>
        <s v="Spring cek ng"/>
        <s v="saat proses discharge"/>
        <s v="Fatal error 5834"/>
        <s v="Mtc box cek ng"/>
        <s v="Spring check Ng (sensor 2)"/>
        <s v="Air leak NG (yellow) "/>
        <s v="Jig ic tank mtc unit ng"/>
        <s v="Spring check sensor 2 ng"/>
        <s v="Fatal error 005853"/>
        <s v="Fatal error 300105"/>
        <s v="Slak sensor ng"/>
        <s v="No inkcharge"/>
        <s v="Fatal Error 5853"/>
        <s v="Maintenance error(cannot recognize ink catridge) "/>
        <s v="Paper en no fungtion"/>
        <s v="Auto cutter ng"/>
        <s v="Abnormal panel  louding"/>
        <s v="Starwheel loose"/>
        <s v="Panel louding"/>
        <s v="Pf Scala cek ng"/>
        <s v="Incurred ID(6) "/>
        <s v="Update firmware failed"/>
        <s v="Abnormal panel louding"/>
        <s v="Panel Ng fuction (unflexible) tombol Up "/>
        <s v="Slack sensor ng"/>
        <s v="Abnormal panel louding (csic ng) "/>
        <s v="Paper remove"/>
        <s v="Fatal error 006725"/>
        <s v="LCD blank"/>
        <s v="Applicator port check ng"/>
        <s v="Slack sensor calibration"/>
        <s v="Ng printer initial"/>
        <s v="Fatal error 005146 "/>
        <s v="CR scale ng"/>
      </sharedItems>
    </cacheField>
    <cacheField name="Severity_Level" numFmtId="0">
      <sharedItems containsBlank="1"/>
    </cacheField>
    <cacheField name="Detect_By" numFmtId="0">
      <sharedItems containsBlank="1"/>
    </cacheField>
    <cacheField name="Stage" numFmtId="0">
      <sharedItems containsMixedTypes="1" containsNumber="1" containsInteger="1" minValue="0" maxValue="0"/>
    </cacheField>
    <cacheField name="During_Process" numFmtId="0">
      <sharedItems containsBlank="1"/>
    </cacheField>
    <cacheField name="How_Much" numFmtId="0">
      <sharedItems containsNonDate="0" containsString="0" containsBlank="1"/>
    </cacheField>
    <cacheField name="Main_Impact" numFmtId="0">
      <sharedItems containsNonDate="0" containsString="0" containsBlank="1"/>
    </cacheField>
    <cacheField name="Phenomenon" numFmtId="0">
      <sharedItems containsBlank="1"/>
    </cacheField>
    <cacheField name="Verify Phenomenon" numFmtId="0">
      <sharedItems containsBlank="1"/>
    </cacheField>
    <cacheField name="Link Photo of Phenomenon" numFmtId="0">
      <sharedItems containsBlank="1" longText="1"/>
    </cacheField>
    <cacheField name="Url Photo" numFmtId="0">
      <sharedItems containsBlank="1"/>
    </cacheField>
    <cacheField name="Task Id" numFmtId="0">
      <sharedItems containsBlank="1"/>
    </cacheField>
    <cacheField name="Analyze_Process" numFmtId="0">
      <sharedItems containsNonDate="0" containsString="0" containsBlank="1"/>
    </cacheField>
    <cacheField name="Part_Replacement" numFmtId="0">
      <sharedItems containsNonDate="0" containsString="0" containsBlank="1"/>
    </cacheField>
    <cacheField name="Materials" numFmtId="0">
      <sharedItems containsBlank="1"/>
    </cacheField>
    <cacheField name="Machine/Jig" numFmtId="0">
      <sharedItems containsBlank="1"/>
    </cacheField>
    <cacheField name="Man" numFmtId="0">
      <sharedItems containsBlank="1"/>
    </cacheField>
    <cacheField name="Methode" numFmtId="0">
      <sharedItems containsBlank="1"/>
    </cacheField>
    <cacheField name="4M_Potential_Cause" numFmtId="0">
      <sharedItems containsBlank="1"/>
    </cacheField>
    <cacheField name="W0" numFmtId="0">
      <sharedItems containsBlank="1"/>
    </cacheField>
    <cacheField name="W1" numFmtId="0">
      <sharedItems containsBlank="1"/>
    </cacheField>
    <cacheField name="W2" numFmtId="0">
      <sharedItems containsBlank="1"/>
    </cacheField>
    <cacheField name="W3" numFmtId="0">
      <sharedItems containsBlank="1"/>
    </cacheField>
    <cacheField name="W4" numFmtId="0">
      <sharedItems containsBlank="1"/>
    </cacheField>
    <cacheField name="5-Why_Analyze" numFmtId="0">
      <sharedItems containsBlank="1"/>
    </cacheField>
    <cacheField name="Root Cause" numFmtId="0">
      <sharedItems containsBlank="1"/>
    </cacheField>
    <cacheField name="Corrective_Action" numFmtId="0">
      <sharedItems containsNonDate="0" containsString="0" containsBlank="1"/>
    </cacheField>
    <cacheField name="Preventive_Action" numFmtId="0">
      <sharedItems containsNonDate="0" containsString="0" containsBlank="1"/>
    </cacheField>
    <cacheField name="Action Item" numFmtId="0">
      <sharedItems containsBlank="1"/>
    </cacheField>
    <cacheField name="Created B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s v="AR241125015913"/>
    <m/>
    <x v="0"/>
    <m/>
    <s v="Takatsu-8 Autocutter"/>
    <m/>
    <m/>
    <s v="TKSAL-004"/>
    <s v="Abnormal PGU Movement"/>
    <x v="0"/>
    <s v="High"/>
    <s v="Operator"/>
    <s v="STAGE PH 2"/>
    <m/>
    <m/>
    <m/>
    <s v="PGU seret saat open/close ."/>
    <m/>
    <m/>
    <m/>
    <m/>
    <m/>
    <m/>
    <m/>
    <m/>
    <m/>
    <m/>
    <m/>
    <m/>
    <m/>
    <m/>
    <m/>
    <m/>
    <m/>
    <m/>
    <m/>
    <m/>
    <m/>
    <m/>
  </r>
  <r>
    <s v="AR241126094933"/>
    <m/>
    <x v="1"/>
    <m/>
    <s v="Takatsu-8 Autocutter"/>
    <m/>
    <m/>
    <s v="TKSAL-021"/>
    <s v="Platen Fan Adjustment NG"/>
    <x v="1"/>
    <s v="Low"/>
    <s v="Operator"/>
    <s v="PG"/>
    <m/>
    <m/>
    <m/>
    <s v="Saat proses pg "/>
    <m/>
    <m/>
    <m/>
    <m/>
    <m/>
    <m/>
    <m/>
    <m/>
    <m/>
    <m/>
    <m/>
    <m/>
    <m/>
    <m/>
    <m/>
    <m/>
    <m/>
    <m/>
    <m/>
    <m/>
    <m/>
    <m/>
  </r>
  <r>
    <s v="AR241128030530"/>
    <m/>
    <x v="2"/>
    <m/>
    <s v="Takatsu-4 Autocutter"/>
    <m/>
    <m/>
    <s v="TKSAL-010"/>
    <s v="DO"/>
    <x v="2"/>
    <s v="High"/>
    <s v="Operator"/>
    <s v="PRINTING"/>
    <m/>
    <m/>
    <m/>
    <s v="Jig 6"/>
    <m/>
    <m/>
    <m/>
    <m/>
    <m/>
    <m/>
    <m/>
    <m/>
    <m/>
    <m/>
    <m/>
    <m/>
    <m/>
    <m/>
    <m/>
    <m/>
    <m/>
    <m/>
    <m/>
    <m/>
    <m/>
    <m/>
  </r>
  <r>
    <s v="AR241128030601"/>
    <m/>
    <x v="2"/>
    <m/>
    <s v="Takatsu-4 Autocutter"/>
    <m/>
    <m/>
    <s v="TKSAL-010"/>
    <s v="DO"/>
    <x v="2"/>
    <s v="High"/>
    <s v="Operator"/>
    <s v="PRINTING"/>
    <m/>
    <m/>
    <m/>
    <s v="Jig 2"/>
    <m/>
    <m/>
    <m/>
    <m/>
    <m/>
    <m/>
    <m/>
    <m/>
    <m/>
    <m/>
    <m/>
    <m/>
    <m/>
    <m/>
    <m/>
    <m/>
    <m/>
    <m/>
    <m/>
    <m/>
    <m/>
    <m/>
  </r>
  <r>
    <s v="AR241128081950"/>
    <m/>
    <x v="2"/>
    <m/>
    <s v="Takatsu-8 Autocutter"/>
    <m/>
    <m/>
    <s v="TKSAL-008"/>
    <s v="DMAH"/>
    <x v="3"/>
    <s v="High"/>
    <s v="Operator"/>
    <s v="PRINTING"/>
    <m/>
    <m/>
    <m/>
    <s v="Jig 07"/>
    <m/>
    <m/>
    <m/>
    <m/>
    <m/>
    <m/>
    <m/>
    <m/>
    <m/>
    <m/>
    <m/>
    <m/>
    <m/>
    <m/>
    <m/>
    <m/>
    <m/>
    <m/>
    <m/>
    <m/>
    <m/>
    <m/>
  </r>
  <r>
    <s v="AR241202103435"/>
    <m/>
    <x v="3"/>
    <m/>
    <s v="Takatsu-4 Autocutter"/>
    <m/>
    <m/>
    <s v="TKSFE-003"/>
    <s v="Fatal Error 6727"/>
    <x v="4"/>
    <s v="High"/>
    <s v="Operator"/>
    <s v="STG PRINTING"/>
    <m/>
    <m/>
    <m/>
    <s v="Setelah power on di stg printing "/>
    <s v="Fatal error 006727"/>
    <s v="[{&quot;name&quot;:&quot;6727_Nazar Bagus H..jpg&quot;,&quot;link&quot;:&quot;https://epsongroup-my.sharepoint.com/personal/brian_ramdhani_epson_co_id/Documents/Apps/Microsoft%20Forms/TAKATSU%20ANALYZE%20REPORT/Question/6727_Nazar%20Bagus%20H..jpg&quot;,&quot;id&quot;:&quot;01D6UVHSNVD5QK3KJ5KFBYH3PWNW7ZBPXN&quot;,&quot;type&quot;:null,&quot;size&quot;:112887,&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6727_Nazar%20Bagus%20H..jpg"/>
    <m/>
    <m/>
    <m/>
    <m/>
    <m/>
    <m/>
    <m/>
    <m/>
    <m/>
    <m/>
    <m/>
    <m/>
    <m/>
    <m/>
    <m/>
    <m/>
    <m/>
    <s v="Change CH77 Main"/>
    <m/>
  </r>
  <r>
    <s v="AR241203025422"/>
    <m/>
    <x v="4"/>
    <m/>
    <s v="Takatsu-4 Autocutter"/>
    <m/>
    <m/>
    <s v="TKSAL-017"/>
    <s v="Paper Jam"/>
    <x v="5"/>
    <s v="High"/>
    <s v="Operator"/>
    <s v="STG PRINTING "/>
    <m/>
    <m/>
    <m/>
    <s v="Saat setting paper"/>
    <s v="During printing menu nozzle check at printing stage, found paper jam"/>
    <s v="[{&quot;name&quot;:&quot;Picture2_Zainul Muttaqin.png&quot;,&quot;link&quot;:&quot;https://epsongroup-my.sharepoint.com/personal/brian_ramdhani_epson_co_id/Documents/Apps/Microsoft%20Forms/TAKATSU%20ANALYZE%20REPORT/Question/Picture2_Zainul%20Muttaqin.png&quot;,&quot;id&quot;:&quot;01D6UVHSM3PCHREI7VGZBISCMYTDIFXVQJ&quot;,&quot;type&quot;:null,&quot;size&quot;:90978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icture2_Zainul%20Muttaqin.png"/>
    <s v="u6lneZPVp0uCYlaPVWhPOMgACrgC"/>
    <m/>
    <m/>
    <m/>
    <m/>
    <m/>
    <m/>
    <m/>
    <m/>
    <m/>
    <m/>
    <m/>
    <m/>
    <m/>
    <s v="Harness connection Paper Jam Detect was broken, release soldering"/>
    <m/>
    <m/>
    <s v="Reminding OPR to carefully during arrange harness connection Paper Jam Detect, and follow SWP"/>
    <s v="Zainul Muttaqin"/>
  </r>
  <r>
    <s v="AR241203090108"/>
    <m/>
    <x v="4"/>
    <m/>
    <s v="Takatsu-4 Autocutter"/>
    <m/>
    <m/>
    <s v="TKSAL-020"/>
    <s v="PF Measurement NG"/>
    <x v="6"/>
    <s v="Low"/>
    <s v="Operator"/>
    <s v="STG PG"/>
    <m/>
    <m/>
    <m/>
    <s v="Saat proses pf measurment"/>
    <s v="During PF Measurement, found Result NG (PF MEASURMENT NG (maincalculation error Aveti_L over))"/>
    <s v="[{&quot;name&quot;:&quot;PF OK_Nazar Bagus H..jpg&quot;,&quot;link&quot;:&quot;https://epsongroup-my.sharepoint.com/personal/brian_ramdhani_epson_co_id/Documents/Apps/Microsoft%20Forms/TAKATSU%20ANALYZE%20REPORT/Question/PF%20OK_Nazar%20Bagus%20H..jpg&quot;,&quot;id&quot;:&quot;01D6UVHSKD2J6IUD5FNFBZ7T7TWAUQ4ANP&quot;,&quot;type&quot;:null,&quot;size&quot;:77030,&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F%20OK_Nazar%20Bagus%20H..jpg"/>
    <s v="edT7obW9EEalpfTUGsfyw8gAGX1k"/>
    <m/>
    <m/>
    <m/>
    <m/>
    <m/>
    <m/>
    <m/>
    <m/>
    <m/>
    <m/>
    <m/>
    <m/>
    <m/>
    <m/>
    <m/>
    <m/>
    <s v="Re Check in Line 5x OK (Pn/n : 0/5)  --&gt; 4M New Man Power MA04 --&gt; Re Educate Man Power to Ensure Belt Tension meet Specification --&gt; Continue Monitoring"/>
    <s v="Nazar Bagus H."/>
  </r>
  <r>
    <s v="AR241204091829"/>
    <m/>
    <x v="5"/>
    <m/>
    <s v="Takatsu-4 Autocutter"/>
    <m/>
    <m/>
    <s v="TKSAL-021"/>
    <s v="Platen Fan Adjustment NG"/>
    <x v="1"/>
    <s v="Low"/>
    <s v="Operator"/>
    <s v="PG"/>
    <m/>
    <m/>
    <m/>
    <s v="Saat proses no 4 (platen fan adjusment)"/>
    <s v="Not enough Suction  During Platen Fan Adjustment Check, "/>
    <s v="[{&quot;name&quot;:&quot;Packing Upper deform_Nazar Bagus H..jpg&quot;,&quot;link&quot;:&quot;https://epsongroup-my.sharepoint.com/personal/brian_ramdhani_epson_co_id/Documents/Apps/Microsoft%20Forms/TAKATSU%20ANALYZE%20REPORT/Question/Packing%20Upper%20deform_Nazar%20Bagus%20H..jpg&quot;,&quot;id&quot;:&quot;01D6UVHSJI4IIMJNN75VB2N7GJBUBPM2FY&quot;,&quot;type&quot;:null,&quot;size&quot;:93787,&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acking%20Upper%20deform_Nazar%20Bagus%20H..jpg"/>
    <s v="L28Pd-mtOkqE84h-4bXaxcgAPKA_"/>
    <m/>
    <m/>
    <m/>
    <m/>
    <m/>
    <m/>
    <m/>
    <m/>
    <m/>
    <m/>
    <m/>
    <m/>
    <m/>
    <s v="Packing Upper deform after Change Platen Unit (Previously NG Paper Jam and Change Platen Unit)"/>
    <m/>
    <m/>
    <s v="Re Form Packing Upper and retry in Line --&gt; Result OK"/>
    <s v="Nazar Bagus H."/>
  </r>
  <r>
    <s v="AR241204120145"/>
    <m/>
    <x v="5"/>
    <m/>
    <s v="Takatsu-4 Autocutter"/>
    <m/>
    <m/>
    <s v="TKSAL-015"/>
    <s v="MNU Measurement NG"/>
    <x v="7"/>
    <s v="High"/>
    <s v="Operator"/>
    <s v="PG"/>
    <m/>
    <m/>
    <m/>
    <s v="E (Saat proses MNU MEASURMENT)"/>
    <s v="When MNU Measurement Check, hear Noise different with other product"/>
    <s v="[{&quot;name&quot;:&quot;Screenshot_20241206_134121_Sound Meter_Rio Rizki Khanigia.jpg&quot;,&quot;link&quot;:&quot;https://epsongroup-my.sharepoint.com/personal/brian_ramdhani_epson_co_id/Documents/Apps/Microsoft%20Forms/TAKATSU%20ANALYZE%20REPORT/Question/Screenshot_20241206_134121_Sound%20Meter_Rio%20Rizki%20Khanigia.jpg&quot;,&quot;id&quot;:&quot;01D6UVHSK2UZPBHIQLP5GI5MPXIZQOFUIZ&quot;,&quot;type&quot;:null,&quot;size&quot;:15067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creenshot_20241206_134121_Sound%20Meter_Rio%20Rizki%20Khanigia.jpg"/>
    <s v="kipjsswdQUKJRBkJRQ3JW8gAFdkV"/>
    <m/>
    <m/>
    <m/>
    <m/>
    <m/>
    <m/>
    <m/>
    <m/>
    <m/>
    <m/>
    <m/>
    <m/>
    <m/>
    <s v="Operator Over judgement during MNU Measurement. We already check with db Meter (Nilai Kebisingan), result measurement OK and NG same value (81-86 db), and not any STD noise db for MNU measurement"/>
    <m/>
    <m/>
    <s v="Continue production refer to db meter check OK and NG product same (81-86 db)"/>
    <s v="Rio Rizki Khanigia"/>
  </r>
  <r>
    <s v="AR241205084758"/>
    <m/>
    <x v="6"/>
    <m/>
    <s v="Takatsu-8 Autocutter"/>
    <m/>
    <m/>
    <s v="TKSAL-004"/>
    <s v="Abnormal PGU Movement"/>
    <x v="0"/>
    <s v="High"/>
    <s v="Operator"/>
    <s v="STAGE PH 2"/>
    <m/>
    <m/>
    <m/>
    <s v="Still analize"/>
    <s v="PGU Seret saat fitting check di mechanism"/>
    <s v="[{&quot;name&quot;:&quot;PGU Seret_Nazar Bagus H..jpg&quot;,&quot;link&quot;:&quot;https://epsongroup-my.sharepoint.com/personal/brian_ramdhani_epson_co_id/Documents/Apps/Microsoft%20Forms/TAKATSU%20ANALYZE%20REPORT/Question/PGU%20Seret_Nazar%20Bagus%20H..jpg&quot;,&quot;id&quot;:&quot;01D6UVHSKA7KYKTWPB3ZDZMTLK3UF2K4KV&quot;,&quot;type&quot;:null,&quot;size&quot;:5278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GU%20Seret_Nazar%20Bagus%20H..jpg"/>
    <s v="FWaQ3dCi2kqfGVE22BJpdMgAHYsZ"/>
    <m/>
    <m/>
    <m/>
    <m/>
    <m/>
    <m/>
    <m/>
    <m/>
    <m/>
    <m/>
    <m/>
    <m/>
    <m/>
    <s v="Frame PF Right slighty not fix"/>
    <m/>
    <m/>
    <s v="Additional Hold Frame PF Right During Screwing --&gt; Check Any Related Part CHaracter on This Phenomenon"/>
    <s v="Nazar Bagus H."/>
  </r>
  <r>
    <s v="AR241205092813"/>
    <m/>
    <x v="6"/>
    <m/>
    <s v="Takatsu-8 Autocutter"/>
    <m/>
    <m/>
    <s v="TKSAL-004"/>
    <s v="Abnormal PGU Movement"/>
    <x v="0"/>
    <s v="High"/>
    <s v="Operator"/>
    <s v="STG PH 2"/>
    <m/>
    <m/>
    <m/>
    <s v="Stil analize"/>
    <m/>
    <m/>
    <m/>
    <s v="q0NSErwdaEOccNo9iIQJt8gALOg6"/>
    <m/>
    <m/>
    <m/>
    <m/>
    <m/>
    <m/>
    <m/>
    <m/>
    <m/>
    <m/>
    <m/>
    <m/>
    <m/>
    <m/>
    <m/>
    <m/>
    <m/>
    <m/>
  </r>
  <r>
    <s v="AR241205121653"/>
    <m/>
    <x v="7"/>
    <m/>
    <s v="Takatsu-8 Autocutter"/>
    <m/>
    <m/>
    <s v="TKSAL-009"/>
    <s v="DMAV"/>
    <x v="8"/>
    <s v="High"/>
    <s v="Operator"/>
    <s v="PRINTING"/>
    <m/>
    <m/>
    <m/>
    <s v="Jig 6"/>
    <s v="Found DMAV on Printing Result"/>
    <s v="[{&quot;name&quot;:&quot;DMAV_Nazar Bagus H..jpg&quot;,&quot;link&quot;:&quot;https://epsongroup-my.sharepoint.com/personal/brian_ramdhani_epson_co_id/Documents/Apps/Microsoft%20Forms/TAKATSU%20ANALYZE%20REPORT/Question/DMAV_Nazar%20Bagus%20H..jpg&quot;,&quot;id&quot;:&quot;01D6UVHSMNWKBPD4EQCJD3NIMHNLGZORHR&quot;,&quot;type&quot;:null,&quot;size&quot;:5237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MAV_Nazar%20Bagus%20H..jpg"/>
    <s v="M2f-exdvGEu6yjDF0yIG4sgANkF4"/>
    <m/>
    <m/>
    <m/>
    <m/>
    <m/>
    <m/>
    <m/>
    <m/>
    <m/>
    <m/>
    <m/>
    <m/>
    <m/>
    <s v="Print Head Dirty"/>
    <m/>
    <m/>
    <s v="Wiping Print Head di Repair OK"/>
    <s v="Nazar Bagus H."/>
  </r>
  <r>
    <s v="AR241209101122"/>
    <m/>
    <x v="8"/>
    <m/>
    <s v="Takatsu-8 Autocutter"/>
    <m/>
    <m/>
    <s v="TKSAL-004"/>
    <s v="Abnormal PGU Movement"/>
    <x v="0"/>
    <s v="High"/>
    <s v="Operator"/>
    <s v="EXTERNAL"/>
    <m/>
    <m/>
    <m/>
    <s v="PGU seret saat buka - tutup"/>
    <s v="At External when Operator check PGU Movement, find little hard to Open"/>
    <s v="[{&quot;name&quot;:&quot;20241209_115941 Copy_Rio Rizki Khanigia 1.jpg&quot;,&quot;link&quot;:&quot;https://epsongroup-my.sharepoint.com/personal/brian_ramdhani_epson_co_id/Documents/Apps/Microsoft%20Forms/TAKATSU%20ANALYZE%20REPORT/Question/20241209_115941%20Copy_Rio%20Rizki%20Khanigia%201.jpg&quot;,&quot;id&quot;:&quot;01D6UVHSKJ5OIIHMCOQNBLHCUW3GAFRV5Y&quot;,&quot;type&quot;:null,&quot;size&quot;:2116186,&quot;referenceId&quot;:&quot;01D6UVHSOX5DG5RX522VGYFCV365U3UBU3&quot;,&quot;driveId&quot;:&quot;b!7qg8FsnQY0iiT36_x6Novv_3J9v4MtxPsytkCbb-ZPz3ScQFcxKeSqI2jw7AAtnZ&quot;,&quot;status&quot;:1,&quot;uploadSessionUrl&quot;:null}]"/>
    <m/>
    <s v="YU41i0Rov0a-gBOezRRzGMgAL_3y"/>
    <m/>
    <m/>
    <m/>
    <m/>
    <m/>
    <m/>
    <m/>
    <m/>
    <m/>
    <m/>
    <m/>
    <m/>
    <m/>
    <s v="Fixture Case Lower not Flat cause not yet POM Supporting"/>
    <m/>
    <m/>
    <s v="Additional POM Holder at Case Lower Assembly Fixture 2 Pcs, and monitoring impact improvement with marking &quot;D&quot; at wagon identity product "/>
    <s v="Rio Rizki Khanigia"/>
  </r>
  <r>
    <s v="AR241210025830"/>
    <m/>
    <x v="9"/>
    <m/>
    <s v="Takatsu-8 Autocutter"/>
    <m/>
    <m/>
    <s v="TKSAL-025"/>
    <s v="Shutter Check Noise"/>
    <x v="9"/>
    <s v="Low"/>
    <s v="Operator"/>
    <s v="STG PG "/>
    <m/>
    <m/>
    <m/>
    <s v="Saat proses shutter chek"/>
    <m/>
    <m/>
    <m/>
    <s v="hwwsGexcqkyBCQ4x7IWK0cgAOnhK"/>
    <m/>
    <m/>
    <m/>
    <m/>
    <m/>
    <m/>
    <m/>
    <m/>
    <m/>
    <m/>
    <m/>
    <m/>
    <m/>
    <m/>
    <m/>
    <m/>
    <m/>
    <m/>
  </r>
  <r>
    <s v="AR241210052057"/>
    <m/>
    <x v="9"/>
    <m/>
    <s v="Takatsu-8 Autocutter"/>
    <m/>
    <m/>
    <s v="TKSAL-025"/>
    <s v="Shutter Check Noise"/>
    <x v="9"/>
    <s v="Low"/>
    <s v="Operator"/>
    <s v="STG PG "/>
    <m/>
    <m/>
    <m/>
    <s v="Saat proses pg "/>
    <s v="During shutter check at PG Stage, found noise platen near on spur gear platen area (Pn/n: 2/35)"/>
    <s v="[{&quot;name&quot;:&quot;Shutter Noise caused by Spur Gear_Zainul Muttaqin.jpg&quot;,&quot;link&quot;:&quot;https://epsongroup-my.sharepoint.com/personal/brian_ramdhani_epson_co_id/Documents/Apps/Microsoft%20Forms/TAKATSU%20ANALYZE%20REPORT/Question/Shutter%20Noise%20caused%20by%20Spur%20Gear_Zainul%20Muttaqin.jpg&quot;,&quot;id&quot;:&quot;01D6UVHSN7ZTIGG5N3TJAZACF7WX63WPA3&quot;,&quot;type&quot;:null,&quot;size&quot;:67004,&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hutter%20Noise%20caused%20by%20Spur%20Gear_Zainul%20Muttaqin.jpg"/>
    <s v="FocLiBfpgU--IwLEtS7bMMgAFNau"/>
    <m/>
    <m/>
    <m/>
    <m/>
    <m/>
    <m/>
    <m/>
    <m/>
    <m/>
    <m/>
    <m/>
    <m/>
    <m/>
    <s v="Suspect mistake placement by OPR on WIP, but we still continue monitoring and still analyze to find rootcause."/>
    <m/>
    <m/>
    <s v="Correction placement motor platen by OPR and continue monitoring this defect."/>
    <s v="Zainul Muttaqin"/>
  </r>
  <r>
    <s v="AR241210073009"/>
    <m/>
    <x v="9"/>
    <m/>
    <s v="Takatsu-8 Autocutter"/>
    <m/>
    <m/>
    <s v="TKSAL-004"/>
    <s v="Abnormal PGU Movement"/>
    <x v="0"/>
    <s v="High"/>
    <s v="Operator"/>
    <s v="PRINT HEAD 2 "/>
    <m/>
    <m/>
    <m/>
    <s v="Still analize"/>
    <m/>
    <m/>
    <m/>
    <s v="V_oOPkdX4EW6rCGX9hCObsgAAgfu"/>
    <m/>
    <m/>
    <m/>
    <m/>
    <m/>
    <m/>
    <m/>
    <m/>
    <m/>
    <m/>
    <m/>
    <m/>
    <m/>
    <m/>
    <m/>
    <m/>
    <m/>
    <m/>
  </r>
  <r>
    <s v="AR241210093321"/>
    <m/>
    <x v="9"/>
    <m/>
    <s v="Takatsu-8 Autocutter"/>
    <m/>
    <m/>
    <s v="TKSAL-003"/>
    <s v="Abnormal Paper Loading"/>
    <x v="10"/>
    <e v="#N/A"/>
    <s v="Operator"/>
    <s v="PG"/>
    <m/>
    <m/>
    <m/>
    <s v="Saat proses label inspection sheet "/>
    <s v="During label calibration at PG Stage, panel shown [the paper not loaded correctly]"/>
    <s v="[{&quot;name&quot;:&quot;the paper is not loaded correctly_Zainul Muttaqin 1.jpg&quot;,&quot;link&quot;:&quot;https://epsongroup-my.sharepoint.com/personal/brian_ramdhani_epson_co_id/Documents/Apps/Microsoft%20Forms/TAKATSU%20ANALYZE%20REPORT/Question/the%20paper%20is%20not%20loaded%20correctly_Zainul%20Muttaqin%201.jpg&quot;,&quot;id&quot;:&quot;01D6UVHSJCMEDKSOFB5BG2DRUPR5MIYFI6&quot;,&quot;type&quot;:null,&quot;size&quot;:3419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the%20paper%20is%20not%20loaded%20correctly_Zainul%20Muttaqin%201.jpg"/>
    <s v="RKyWbVPnkkynq89fpEd3vMgAKG7u"/>
    <m/>
    <m/>
    <m/>
    <m/>
    <m/>
    <m/>
    <m/>
    <m/>
    <m/>
    <m/>
    <m/>
    <m/>
    <m/>
    <s v="BM Sensor NG - Still Analyze"/>
    <m/>
    <m/>
    <s v="Change BM Sensor NG - Continue monitoring this defect"/>
    <s v="Zainul Muttaqin"/>
  </r>
  <r>
    <s v="AR241211010730"/>
    <m/>
    <x v="10"/>
    <m/>
    <s v="Takatsu-8 Autocutter"/>
    <m/>
    <m/>
    <s v="TKSFE-002"/>
    <s v="Fatal Error 5151"/>
    <x v="11"/>
    <s v="High"/>
    <s v="Operator"/>
    <s v="STG PRINTING"/>
    <m/>
    <m/>
    <m/>
    <s v="Saat proses power on"/>
    <s v="During initialize product on Printing Stage, found fatal error 005151"/>
    <s v="[{&quot;name&quot;:&quot;FE 05151_Zainul Muttaqin.jpg&quot;,&quot;link&quot;:&quot;https://epsongroup-my.sharepoint.com/personal/brian_ramdhani_epson_co_id/Documents/Apps/Microsoft%20Forms/TAKATSU%20ANALYZE%20REPORT/Question/FE%2005151_Zainul%20Muttaqin.jpg&quot;,&quot;id&quot;:&quot;01D6UVHSLNEATZB7FRQFDZFZSNFBZSMHXE&quot;,&quot;type&quot;:null,&quot;size&quot;:8776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E%2005151_Zainul%20Muttaqin.jpg"/>
    <s v="id7V16wGGkKRwoZTweG2QMgAPm_D"/>
    <m/>
    <m/>
    <m/>
    <m/>
    <m/>
    <m/>
    <m/>
    <m/>
    <m/>
    <m/>
    <m/>
    <m/>
    <m/>
    <s v="OPR forget take out Jig head incline adjustment"/>
    <m/>
    <m/>
    <s v="Reminding OPR to must be take out all of Jig, if adjustment process already finished"/>
    <s v="Zainul Muttaqin"/>
  </r>
  <r>
    <s v="AR241212080711"/>
    <m/>
    <x v="11"/>
    <m/>
    <s v="Takatsu-4 Autocutter"/>
    <m/>
    <m/>
    <s v="TKSAL-005"/>
    <s v="Abnormal Power On"/>
    <x v="12"/>
    <s v="High"/>
    <s v="Operator"/>
    <s v="STG INTETNAL"/>
    <m/>
    <m/>
    <m/>
    <s v="Standar lcd tampilannya warna hitam actual warna putih "/>
    <s v="During initial power ON product at Internal Stage, found abnormal LCD Panel [Blue Color]"/>
    <s v="[{&quot;name&quot;:&quot;Abnormal LCD Panel_Zainul Muttaqin.jpg&quot;,&quot;link&quot;:&quot;https://epsongroup-my.sharepoint.com/personal/brian_ramdhani_epson_co_id/Documents/Apps/Microsoft%20Forms/TAKATSU%20ANALYZE%20REPORT/Question/Abnormal%20LCD%20Panel_Zainul%20Muttaqin.jpg&quot;,&quot;id&quot;:&quot;01D6UVHSNJLL5DGMJ2YJFJBRKPCZDABKRS&quot;,&quot;type&quot;:null,&quot;size&quot;:60358,&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Abnormal%20LCD%20Panel_Zainul%20Muttaqin.jpg"/>
    <s v="TohOXcnnhk6KybuE1l-0YsgAJOu6"/>
    <m/>
    <m/>
    <m/>
    <m/>
    <m/>
    <m/>
    <m/>
    <m/>
    <m/>
    <m/>
    <m/>
    <m/>
    <m/>
    <s v="FFC connection to board peeled off"/>
    <m/>
    <m/>
    <s v="Change FFC peeled of by OPR on SA - Reminding OPR SA, must be follow checkpoint on SWP"/>
    <s v="Zainul Muttaqin"/>
  </r>
  <r>
    <s v="AR241212080917"/>
    <m/>
    <x v="11"/>
    <m/>
    <s v="Takatsu-4 Autocutter"/>
    <m/>
    <m/>
    <s v="TKSAL-007"/>
    <s v="CSIC Check NG"/>
    <x v="13"/>
    <s v="High"/>
    <s v="Operator"/>
    <s v="STG INTERNAL"/>
    <m/>
    <m/>
    <m/>
    <s v="Saat proses power on"/>
    <m/>
    <m/>
    <m/>
    <s v="yseZav0jekaV_wR25gN_1sgADKaH"/>
    <m/>
    <m/>
    <m/>
    <m/>
    <m/>
    <m/>
    <m/>
    <m/>
    <m/>
    <m/>
    <m/>
    <m/>
    <m/>
    <m/>
    <m/>
    <m/>
    <m/>
    <m/>
  </r>
  <r>
    <s v="AR241216032702"/>
    <m/>
    <x v="12"/>
    <m/>
    <s v="Takatsu-4 Autocutter"/>
    <m/>
    <m/>
    <s v="TKSAL-010"/>
    <s v="DO"/>
    <x v="2"/>
    <s v="High"/>
    <s v="Operator"/>
    <s v="PRINTING"/>
    <m/>
    <m/>
    <m/>
    <s v="Jig 01"/>
    <s v="During Initial Charge Found Dot Omission"/>
    <s v="[{&quot;name&quot;:&quot;DO 17 Dec 24_Nazar Bagus H..png&quot;,&quot;link&quot;:&quot;https://epsongroup-my.sharepoint.com/personal/brian_ramdhani_epson_co_id/Documents/Apps/Microsoft%20Forms/TAKATSU%20ANALYZE%20REPORT/Question/DO%2017%20Dec%2024_Nazar%20Bagus%20H..png&quot;,&quot;id&quot;:&quot;01D6UVHSLLXBNGQZS3D5A3LFMANB5VZNJ3&quot;,&quot;type&quot;:null,&quot;size&quot;:295780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O%2017%20Dec%2024_Nazar%20Bagus%20H..png"/>
    <s v="Ln3jCsAQo0OUyMukF-cvJ8gAHcH4"/>
    <m/>
    <m/>
    <m/>
    <m/>
    <m/>
    <m/>
    <m/>
    <m/>
    <m/>
    <m/>
    <m/>
    <m/>
    <m/>
    <s v="Possibility Electrical Inside PH NG"/>
    <m/>
    <m/>
    <s v="Change Print Head in Line (Keep PH for analyze)"/>
    <s v="Nazar Bagus H."/>
  </r>
  <r>
    <s v="AR241216041826"/>
    <m/>
    <x v="12"/>
    <m/>
    <s v="Takatsu-8 Autocutter"/>
    <m/>
    <m/>
    <s v="TKSAL-027"/>
    <s v="Unstable Printing"/>
    <x v="14"/>
    <s v="Low"/>
    <s v="Operator"/>
    <s v="PRINTING"/>
    <m/>
    <m/>
    <m/>
    <s v="Jig 06"/>
    <s v="During Initial Charge Found Unstable Printing"/>
    <s v="[{&quot;name&quot;:&quot;DMAV_Nazar Bagus H. 1.jpg&quot;,&quot;link&quot;:&quot;https://epsongroup-my.sharepoint.com/personal/brian_ramdhani_epson_co_id/Documents/Apps/Microsoft%20Forms/TAKATSU%20ANALYZE%20REPORT/Question/DMAV_Nazar%20Bagus%20H.%201.jpg&quot;,&quot;id&quot;:&quot;01D6UVHSKQVI3KDSWYCBELLYMQT2IW5GMO&quot;,&quot;type&quot;:null,&quot;size&quot;:5237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MAV_Nazar%20Bagus%20H.%201.jpg"/>
    <s v="fkOre-DHP0yElkythoegLcgAEB6t"/>
    <m/>
    <m/>
    <m/>
    <m/>
    <m/>
    <m/>
    <m/>
    <m/>
    <m/>
    <m/>
    <m/>
    <m/>
    <m/>
    <s v="Possibility any F/M on Print Head"/>
    <m/>
    <m/>
    <s v="Wiping PH in Line OK"/>
    <s v="Nazar Bagus H."/>
  </r>
  <r>
    <s v="AR241216054107"/>
    <m/>
    <x v="12"/>
    <m/>
    <s v="Takatsu-8 Autocutter"/>
    <m/>
    <m/>
    <s v="TKSAL-001"/>
    <s v="Abnormal CR Movement"/>
    <x v="15"/>
    <e v="#N/A"/>
    <s v="Operator"/>
    <s v="STG PG"/>
    <m/>
    <m/>
    <m/>
    <s v="Saat power on"/>
    <s v="When power On at PG stage, find Carriage Movement abnormal. Move Home to Away faster"/>
    <s v="[{&quot;name&quot;:&quot;20241216_175552_Rio Rizki Khanigia.jpg&quot;,&quot;link&quot;:&quot;https://epsongroup-my.sharepoint.com/personal/brian_ramdhani_epson_co_id/Documents/Apps/Microsoft%20Forms/TAKATSU%20ANALYZE%20REPORT/Question/20241216_175552_Rio%20Rizki%20Khanigia.jpg&quot;,&quot;id&quot;:&quot;01D6UVHSJ5WIBBWSSXGZFLJD2G7LDITH4Y&quot;,&quot;type&quot;:null,&quot;size&quot;:3547694,&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20241216_175552_Rio%20Rizki%20Khanigia.jpg"/>
    <s v="tv8jNjaEf0y9Eq5u6TVKqsgAE3SM"/>
    <m/>
    <m/>
    <m/>
    <m/>
    <m/>
    <m/>
    <m/>
    <m/>
    <m/>
    <m/>
    <m/>
    <m/>
    <m/>
    <s v="Possibility when Serial number not create to ROM during initial setting at Internal stage"/>
    <m/>
    <m/>
    <s v="Re-initial setting at PG Stage. after OK, back to Internal stage to re-inspection process."/>
    <s v="Rio Rizki Khanigia"/>
  </r>
  <r>
    <s v="AR241216073519"/>
    <m/>
    <x v="12"/>
    <m/>
    <s v="Takatsu-8 Autocutter"/>
    <m/>
    <m/>
    <s v="TKSAL-012"/>
    <s v="Ink Drop"/>
    <x v="16"/>
    <s v="High"/>
    <s v="Operator"/>
    <s v="SRG PRINTING"/>
    <m/>
    <m/>
    <m/>
    <s v="Saat proses miss piping (ada suara noise)"/>
    <s v="Ink Drop during Miss Piping Check at Stage Printing"/>
    <s v="[{&quot;name&quot;:&quot;Tube Pinch_Nazar Bagus H..jpg&quot;,&quot;link&quot;:&quot;https://epsongroup-my.sharepoint.com/personal/brian_ramdhani_epson_co_id/Documents/Apps/Microsoft%20Forms/TAKATSU%20ANALYZE%20REPORT/Question/Tube%20Pinch_Nazar%20Bagus%20H..jpg&quot;,&quot;id&quot;:&quot;01D6UVHSOBEODUYACEZJH2TJ6F4EKAWWKS&quot;,&quot;type&quot;:null,&quot;size&quot;:70867,&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Tube%20Pinch_Nazar%20Bagus%20H..jpg"/>
    <s v="Y30NrvnvqU-eyM5JGwjWNMgALEpu"/>
    <m/>
    <m/>
    <m/>
    <m/>
    <m/>
    <m/>
    <m/>
    <m/>
    <m/>
    <m/>
    <m/>
    <m/>
    <m/>
    <s v="Tube JIG Maintenance Box Pinched"/>
    <m/>
    <m/>
    <s v="Total Disassembly and Total Cleaning by Production --&gt; Remind Operator to always check JIG and tube condition before insert into Product."/>
    <s v="Nazar Bagus H."/>
  </r>
  <r>
    <s v="AR241217102245"/>
    <m/>
    <x v="13"/>
    <m/>
    <s v="Takatsu-8 Autocutter"/>
    <m/>
    <m/>
    <s v="TKSAL-025"/>
    <s v="Shutter Check Noise"/>
    <x v="9"/>
    <s v="Low"/>
    <s v="Operator"/>
    <s v="PG"/>
    <m/>
    <m/>
    <m/>
    <s v="Saat proses shutter check"/>
    <s v="During Shutter Check Heard tik tik Noise "/>
    <s v="[{&quot;name&quot;:&quot;noise shutter check, less grease_Nazar Bagus H..png&quot;,&quot;link&quot;:&quot;https://epsongroup-my.sharepoint.com/personal/brian_ramdhani_epson_co_id/Documents/Apps/Microsoft%20Forms/TAKATSU%20ANALYZE%20REPORT/Question/noise%20shutter%20check,%20less%20grease_Nazar%20Bagus%20H..png&quot;,&quot;id&quot;:&quot;01D6UVHSIGQ4CP27U5BJCZK6KRCGDSTXHB&quot;,&quot;type&quot;:null,&quot;size&quot;:2685785,&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ise%20shutter%20check,%20less%20grease_Nazar%20Bagus%20H..png"/>
    <s v="XFFiHC-vm0mOF7UZ3xM6eMgAMrxx"/>
    <m/>
    <m/>
    <m/>
    <m/>
    <m/>
    <m/>
    <m/>
    <m/>
    <m/>
    <m/>
    <m/>
    <m/>
    <m/>
    <s v="Less grease on shaft"/>
    <m/>
    <m/>
    <s v="Add grease on shaft and noise dissappear"/>
    <s v="Nazar Bagus H."/>
  </r>
  <r>
    <s v="AR241217114509"/>
    <m/>
    <x v="13"/>
    <m/>
    <s v="Takatsu-8 Autocutter"/>
    <m/>
    <m/>
    <s v="TKSAL-004"/>
    <s v="Abnormal PGU Movement"/>
    <x v="0"/>
    <s v="High"/>
    <s v="Operator"/>
    <s v="STG PH"/>
    <m/>
    <m/>
    <m/>
    <s v="Seret saat buka tutup pgu"/>
    <s v="During open-close PGU on PH stage, found hard to open-close"/>
    <s v="[{&quot;name&quot;:&quot;PGU_Zainul Muttaqin.png&quot;,&quot;link&quot;:&quot;https://epsongroup-my.sharepoint.com/personal/brian_ramdhani_epson_co_id/Documents/Apps/Microsoft%20Forms/TAKATSU%20ANALYZE%20REPORT/Question/PGU_Zainul%20Muttaqin.png&quot;,&quot;id&quot;:&quot;01D6UVHSMYKXX5SCFUOFEYYC3ZQ2ZHWNLN&quot;,&quot;type&quot;:null,&quot;size&quot;:22759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GU_Zainul%20Muttaqin.png"/>
    <s v="vQ_d1TW2GU2umgDs1ysbScgAIkkV"/>
    <m/>
    <m/>
    <m/>
    <m/>
    <m/>
    <m/>
    <m/>
    <m/>
    <m/>
    <m/>
    <m/>
    <m/>
    <m/>
    <s v="Verification in line OK level"/>
    <m/>
    <m/>
    <s v="Verification in line OK level"/>
    <s v="Zainul Muttaqin"/>
  </r>
  <r>
    <s v="AR241218034332"/>
    <m/>
    <x v="14"/>
    <m/>
    <s v="Takatsu-4 Autocutter"/>
    <m/>
    <m/>
    <s v="TKSFE-001"/>
    <s v="Fatal Error 205602"/>
    <x v="17"/>
    <s v="High"/>
    <s v="Operator"/>
    <s v="PG"/>
    <m/>
    <m/>
    <m/>
    <s v="Saat power on"/>
    <s v="When Power On at PG Stage, LED ON then OFF and ON again with Error Information System Error 205602"/>
    <s v="[{&quot;name&quot;:&quot;20241218_160012_Rio Rizki Khanigia.jpg&quot;,&quot;link&quot;:&quot;https://epsongroup-my.sharepoint.com/personal/brian_ramdhani_epson_co_id/Documents/Apps/Microsoft%20Forms/TAKATSU%20ANALYZE%20REPORT/Question/20241218_160012_Rio%20Rizki%20Khanigia.jpg&quot;,&quot;id&quot;:&quot;01D6UVHSKGUDV6UPMORNFJBW5VUKWPC3YO&quot;,&quot;type&quot;:null,&quot;size&quot;:2914404,&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20241218_160012_Rio%20Rizki%20Khanigia.jpg"/>
    <s v="7eCIcx8RwE-XdpgZz4nrlMgAAOes"/>
    <m/>
    <m/>
    <m/>
    <m/>
    <m/>
    <m/>
    <m/>
    <m/>
    <m/>
    <m/>
    <m/>
    <m/>
    <m/>
    <s v="Possibility any bug in SD Card, because not any part to Change and Error code information follow to ROM data Saving"/>
    <m/>
    <m/>
    <s v="Delete SD Card Serial Number at Tool Menu, then Lock - unlock SD Card from CH77 Main. After that Initial setting at Setting 1 Menu become OK. Temporary monitoring this defect with continue production NG Product from before Stage MA 07 [Internal]"/>
    <s v="Rio Rizki Khanigia"/>
  </r>
  <r>
    <s v="AR241218095015"/>
    <m/>
    <x v="14"/>
    <m/>
    <s v="Takatsu-4 Autocutter"/>
    <m/>
    <m/>
    <s v="TKSAL-013"/>
    <s v="Ink End Sensor NG"/>
    <x v="18"/>
    <s v="High"/>
    <s v="Operator"/>
    <s v="INTERNAL"/>
    <m/>
    <m/>
    <m/>
    <s v="Saat proses air leak"/>
    <s v="When air Leak Check, find Error Information ID 1[10] Check Spring of Ink Holder Unit Error. Ink End Sensor Left NG"/>
    <s v="[{&quot;name&quot;:&quot;20241218_103335_Rio Rizki Khanigia.jpg&quot;,&quot;link&quot;:&quot;https://epsongroup-my.sharepoint.com/personal/brian_ramdhani_epson_co_id/Documents/Apps/Microsoft%20Forms/TAKATSU%20ANALYZE%20REPORT/Question/20241218_103335_Rio%20Rizki%20Khanigia.jpg&quot;,&quot;id&quot;:&quot;01D6UVHSPY4EIZHHEYIJCLJWBXP4C5ILBL&quot;,&quot;type&quot;:null,&quot;size&quot;:301300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20241218_103335_Rio%20Rizki%20Khanigia.jpg"/>
    <s v="Mm4KxVGtgEmyHJEzTQnv8sgAHHjy"/>
    <m/>
    <m/>
    <m/>
    <m/>
    <m/>
    <m/>
    <m/>
    <m/>
    <m/>
    <m/>
    <m/>
    <m/>
    <m/>
    <s v="Arrangement Harnes AC not Good. [Any 4M man power at MA 06]"/>
    <m/>
    <m/>
    <s v="Additional check arrangement harness AC at next stage [MA 07 - Internal Stage] and Re-training OP MA 06"/>
    <s v="Rio Rizki Khanigia"/>
  </r>
  <r>
    <s v="AR241219083807"/>
    <m/>
    <x v="15"/>
    <m/>
    <s v="Takatsu-4 Autocutter"/>
    <m/>
    <m/>
    <s v="TKSAL-022"/>
    <s v="Printing Noise"/>
    <x v="19"/>
    <s v="Low"/>
    <s v="Operator"/>
    <s v="PRINTING "/>
    <m/>
    <m/>
    <m/>
    <s v="Saat proses louding paper high gloos"/>
    <s v="During Iinitialize loading paper High Gloss, found noise at Printing Stage"/>
    <s v="[{&quot;name&quot;:&quot;Picture1_Zainul Muttaqin.png&quot;,&quot;link&quot;:&quot;https://epsongroup-my.sharepoint.com/personal/brian_ramdhani_epson_co_id/Documents/Apps/Microsoft%20Forms/TAKATSU%20ANALYZE%20REPORT/Question/Picture1_Zainul%20Muttaqin.png&quot;,&quot;id&quot;:&quot;01D6UVHSIP5BBNY7X47FDKM7NHOR2YMNUL&quot;,&quot;type&quot;:null,&quot;size&quot;:120441,&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icture1_Zainul%20Muttaqin.png"/>
    <s v="Wx_4LijQ6kOl-70sW87hfcgAOZbP"/>
    <m/>
    <m/>
    <m/>
    <m/>
    <m/>
    <m/>
    <m/>
    <m/>
    <m/>
    <m/>
    <m/>
    <m/>
    <m/>
    <s v="Retry initialize loading paper bocome OK permanenly 10/10"/>
    <m/>
    <m/>
    <s v="Retry initialize loading paper bocome OK permanenly 10/10"/>
    <s v="Zainul Muttaqin"/>
  </r>
  <r>
    <s v="AR241219120619"/>
    <m/>
    <x v="15"/>
    <m/>
    <s v="Takatsu-4 Autocutter"/>
    <m/>
    <m/>
    <s v="TKSAL-002"/>
    <s v="Abnormal Noise"/>
    <x v="20"/>
    <e v="#N/A"/>
    <s v="Operator"/>
    <s v="STG SAFETY"/>
    <m/>
    <m/>
    <m/>
    <s v="Saat buka tutup cover paper guide"/>
    <s v="During external check open-close Cover Paper Unit, found noise [Tak-Tak]"/>
    <s v="[{&quot;name&quot;:&quot;Picture3_Zainul Muttaqin.png&quot;,&quot;link&quot;:&quot;https://epsongroup-my.sharepoint.com/personal/brian_ramdhani_epson_co_id/Documents/Apps/Microsoft%20Forms/TAKATSU%20ANALYZE%20REPORT/Question/Picture3_Zainul%20Muttaqin.png&quot;,&quot;id&quot;:&quot;01D6UVHSNNJQXVMHU5QNHIRRKRXWJC53EL&quot;,&quot;type&quot;:null,&quot;size&quot;:97885,&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icture3_Zainul%20Muttaqin.png"/>
    <s v="XnKZSbM9x0qI8yMW4bBxNMgAHOww"/>
    <m/>
    <m/>
    <m/>
    <m/>
    <m/>
    <m/>
    <m/>
    <m/>
    <m/>
    <m/>
    <m/>
    <m/>
    <m/>
    <s v="Reassembly HOLDER,HINGE FIXED,FRONT become OK, possibility occured due to assembly problem"/>
    <m/>
    <m/>
    <s v="Review assembly related stage, continue monitoring this defect"/>
    <s v="Zainul Muttaqin"/>
  </r>
  <r>
    <s v="AR241220090330"/>
    <m/>
    <x v="16"/>
    <m/>
    <s v="Takatsu-4 Autocutter"/>
    <m/>
    <m/>
    <s v="TKSAL-017"/>
    <s v="Paper Jam"/>
    <x v="5"/>
    <s v="High"/>
    <s v="Operator"/>
    <s v="PRINTING"/>
    <m/>
    <m/>
    <m/>
    <s v="Saat proses calibrasi"/>
    <s v="During calibration process using APMP Paper, found Paper Jam"/>
    <s v="[{&quot;name&quot;:&quot;Paper Jam1_Zainul Muttaqin.jpg&quot;,&quot;link&quot;:&quot;https://epsongroup-my.sharepoint.com/personal/brian_ramdhani_epson_co_id/Documents/Apps/Microsoft%20Forms/TAKATSU%20ANALYZE%20REPORT/Question/Paper%20Jam1_Zainul%20Muttaqin.jpg&quot;,&quot;id&quot;:&quot;01D6UVHSJ4ZDDUHTFLW5AZA7G7PMHTNX56&quot;,&quot;type&quot;:null,&quot;size&quot;:136918,&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aper%20Jam1_Zainul%20Muttaqin.jpg"/>
    <s v="ZCuAS7HOckyG8OCYCF00IsgAMWi0"/>
    <m/>
    <m/>
    <m/>
    <m/>
    <m/>
    <m/>
    <m/>
    <m/>
    <m/>
    <m/>
    <m/>
    <m/>
    <m/>
    <s v="OPR pressing leaf spring during assembly to FRAME PF R and FRAME PF L"/>
    <m/>
    <m/>
    <s v="1. Retraining and reminding OPR so as not to add to the pressing process during assembly leaf spring, 2. OPR must be follow ALO how to calibration process with APMP Paper"/>
    <s v="Zainul Muttaqin"/>
  </r>
  <r>
    <s v="AR241223033156"/>
    <m/>
    <x v="17"/>
    <m/>
    <s v="Takatsu-4 Autocutter"/>
    <m/>
    <m/>
    <s v="TKSAL-009"/>
    <s v="DMAV"/>
    <x v="8"/>
    <s v="High"/>
    <s v="Operator"/>
    <s v="PRINTING "/>
    <m/>
    <m/>
    <m/>
    <s v="Jig 02"/>
    <s v="During nozzle check at Printing Stage, found DMAV [F1,180]"/>
    <s v="[{&quot;name&quot;:&quot;20241224_085753_Zainul Muttaqin.jpg&quot;,&quot;link&quot;:&quot;https://epsongroup-my.sharepoint.com/personal/brian_ramdhani_epson_co_id/Documents/Apps/Microsoft%20Forms/TAKATSU%20ANALYZE%20REPORT/Question/20241224_085753_Zainul%20Muttaqin.jpg&quot;,&quot;id&quot;:&quot;01D6UVHSJGVVC3XN267FBYWPXD4SGCGQPO&quot;,&quot;type&quot;:null,&quot;size&quot;:214929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20241224_085753_Zainul%20Muttaqin.jpg"/>
    <s v="6GSHTCRXzEi5WQghffBpJ8gAJv4H"/>
    <m/>
    <m/>
    <m/>
    <m/>
    <m/>
    <m/>
    <m/>
    <m/>
    <m/>
    <m/>
    <m/>
    <m/>
    <m/>
    <s v="Still Analyze"/>
    <m/>
    <m/>
    <s v="To be continue wiping and cleaning"/>
    <s v="Zainul Muttaqin"/>
  </r>
  <r>
    <s v="AR241224102418"/>
    <m/>
    <x v="18"/>
    <m/>
    <s v="Takatsu-8 Peeler"/>
    <m/>
    <m/>
    <s v="TKSAL-022"/>
    <s v="Printing Noise"/>
    <x v="19"/>
    <s v="Low"/>
    <s v="Operator"/>
    <s v="PRINTING "/>
    <m/>
    <m/>
    <m/>
    <s v="(Jig 02) &gt;&gt;saat louding ink charge"/>
    <s v="Heard abnormal noise during paper feed"/>
    <s v="[{&quot;name&quot;:&quot;Noise Peeler_Nazar Bagus H..PNG&quot;,&quot;link&quot;:&quot;https://epsongroup-my.sharepoint.com/personal/brian_ramdhani_epson_co_id/Documents/Apps/Microsoft%20Forms/TAKATSU%20ANALYZE%20REPORT/Question/Noise%20Peeler_Nazar%20Bagus%20H..PNG&quot;,&quot;id&quot;:&quot;01D6UVHSKBMBBN3ZDMHFE3N3WZ5AFSG4YL&quot;,&quot;type&quot;:null,&quot;size&quot;:13123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ise%20Peeler_Nazar%20Bagus%20H..PNG"/>
    <s v="AwJMbbhBLkS4pGIZEt2JEsgAOO8y"/>
    <m/>
    <m/>
    <m/>
    <m/>
    <m/>
    <m/>
    <m/>
    <m/>
    <m/>
    <m/>
    <m/>
    <m/>
    <m/>
    <s v="Bearing roller peeler slight unsmooth"/>
    <m/>
    <m/>
    <s v="additional grease on bearing become OK"/>
    <s v="Nazar Bagus H."/>
  </r>
  <r>
    <s v="AR241231090813"/>
    <m/>
    <x v="19"/>
    <m/>
    <s v="Takatsu-8 Autocutter"/>
    <m/>
    <m/>
    <s v="TKSFE-001"/>
    <s v="Fatal Error 205602"/>
    <x v="17"/>
    <s v="High"/>
    <s v="Operator"/>
    <s v="PRINTING"/>
    <m/>
    <m/>
    <m/>
    <s v="Saat power on"/>
    <s v="When initial Power On at Printing Stage, find Error Information 205602 at LCD Panel"/>
    <s v="[{&quot;name&quot;:&quot;FATAL ERROR 205602_Rio Rizki Khanigia.jpg&quot;,&quot;link&quot;:&quot;https://epsongroup-my.sharepoint.com/personal/brian_ramdhani_epson_co_id/Documents/Apps/Microsoft%20Forms/TAKATSU%20ANALYZE%20REPORT/Question/FATAL%20ERROR%20205602_Rio%20Rizki%20Khanigia.jpg&quot;,&quot;id&quot;:&quot;01D6UVHSKAI4OVW6BDLZAYS22VFVHHXV3W&quot;,&quot;type&quot;:null,&quot;size&quot;:175308,&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ATAL%20ERROR%20205602_Rio%20Rizki%20Khanigia.jpg"/>
    <s v="MZkKkit_vE2BAgguKnJmqcgAK1C5"/>
    <m/>
    <m/>
    <m/>
    <m/>
    <m/>
    <m/>
    <m/>
    <m/>
    <m/>
    <m/>
    <m/>
    <m/>
    <m/>
    <s v="SD Card at CH77 Main not Locking. NG Possibility cause any 4M Man Power at Sub Assy Main Board"/>
    <m/>
    <m/>
    <s v="Connect SD Card, and re-inspection from PG Adjustment Stage. Check remain Stock FG Mainboard at Sub Assy and Main Assy Production. "/>
    <s v="Rio Rizki Khanigia"/>
  </r>
  <r>
    <s v="AR250102010320"/>
    <m/>
    <x v="20"/>
    <m/>
    <s v="Takatsu-8 Autocutter"/>
    <m/>
    <m/>
    <s v="TKSAL-025"/>
    <s v="Shutter Check Noise"/>
    <x v="9"/>
    <s v="Low"/>
    <s v="Operator"/>
    <s v="PG"/>
    <m/>
    <m/>
    <m/>
    <s v="Noise saat proses shutter cek"/>
    <s v="During shutter check inspection at PG stage, found noise (Judgement by OPR)"/>
    <s v="[{&quot;name&quot;:&quot;Shutter check noise_Zainul Muttaqin.png&quot;,&quot;link&quot;:&quot;https://epsongroup-my.sharepoint.com/personal/brian_ramdhani_epson_co_id/Documents/Apps/Microsoft%20Forms/TAKATSU%20ANALYZE%20REPORT/Question/Shutter%20check%20noise_Zainul%20Muttaqin.png&quot;,&quot;id&quot;:&quot;01D6UVHSI2K37B4SUMGFALLARG5WR4PNTO&quot;,&quot;type&quot;:null,&quot;size&quot;:170890,&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hutter%20check%20noise_Zainul%20Muttaqin.png"/>
    <s v="ZkYwdsffR0yjw2fYc3qb98gAHBKk"/>
    <m/>
    <m/>
    <m/>
    <m/>
    <m/>
    <m/>
    <m/>
    <m/>
    <m/>
    <m/>
    <m/>
    <m/>
    <m/>
    <s v="Retry in line OK, over judgement"/>
    <m/>
    <m/>
    <s v="Retry in line OK, over judgement"/>
    <s v="Zainul Muttaqin"/>
  </r>
  <r>
    <s v="AR250102103216"/>
    <m/>
    <x v="20"/>
    <m/>
    <s v="Takatsu-8 Autocutter"/>
    <m/>
    <m/>
    <s v="TKSAL-025"/>
    <s v="Shutter Check Noise"/>
    <x v="9"/>
    <s v="Low"/>
    <s v="Operator"/>
    <s v="STG PG"/>
    <m/>
    <m/>
    <m/>
    <s v="Saat proses shutter cek"/>
    <m/>
    <m/>
    <m/>
    <s v="67fzNfu62EmQq9_ACR5aB8gAM7jK"/>
    <m/>
    <m/>
    <m/>
    <m/>
    <m/>
    <m/>
    <m/>
    <m/>
    <m/>
    <m/>
    <m/>
    <m/>
    <m/>
    <m/>
    <m/>
    <m/>
    <m/>
    <m/>
  </r>
  <r>
    <s v="AR250103010659"/>
    <m/>
    <x v="21"/>
    <m/>
    <s v="Takatsu-8 Peeler"/>
    <m/>
    <m/>
    <s v="TKSAL-009"/>
    <s v="DMAV"/>
    <x v="8"/>
    <s v="High"/>
    <s v="Operator"/>
    <s v="PRINTING"/>
    <m/>
    <m/>
    <m/>
    <s v="Jig 07"/>
    <s v="DMAV "/>
    <s v="[{&quot;name&quot;:&quot;DMAV 3 jan_Nazar Bagus H..jpg&quot;,&quot;link&quot;:&quot;https://epsongroup-my.sharepoint.com/personal/brian_ramdhani_epson_co_id/Documents/Apps/Microsoft%20Forms/TAKATSU%20ANALYZE%20REPORT/Question/DMAV%203%20jan_Nazar%20Bagus%20H..jpg&quot;,&quot;id&quot;:&quot;01D6UVHSN5LVJYTXL5ZRHLBIH4IVBUTZC5&quot;,&quot;type&quot;:null,&quot;size&quot;:55728,&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MAV%203%20jan_Nazar%20Bagus%20H..jpg"/>
    <s v="r8ym3dZfDk63fG9AsDGHp8gALbtn"/>
    <m/>
    <m/>
    <m/>
    <m/>
    <m/>
    <m/>
    <m/>
    <m/>
    <m/>
    <m/>
    <m/>
    <m/>
    <m/>
    <s v="Possibility any foreign material on surface PH"/>
    <m/>
    <m/>
    <s v="Wiping PH can recovery"/>
    <s v="Nazar Bagus H."/>
  </r>
  <r>
    <s v="AR250103104018"/>
    <m/>
    <x v="21"/>
    <m/>
    <s v="Takatsu-8 Autocutter"/>
    <m/>
    <m/>
    <s v="TKSAL-010"/>
    <s v="DO"/>
    <x v="2"/>
    <s v="High"/>
    <s v="Operator"/>
    <s v="PRINTING"/>
    <m/>
    <m/>
    <m/>
    <s v="Jig 02"/>
    <m/>
    <m/>
    <m/>
    <s v="OZi668R6FEWwH-Al0OwIJ8gAL5e7"/>
    <m/>
    <m/>
    <m/>
    <m/>
    <m/>
    <m/>
    <m/>
    <m/>
    <m/>
    <m/>
    <m/>
    <m/>
    <m/>
    <m/>
    <m/>
    <m/>
    <m/>
    <m/>
  </r>
  <r>
    <s v="AR250108022137"/>
    <m/>
    <x v="22"/>
    <m/>
    <s v="Takatsu-8 Autocutter"/>
    <m/>
    <m/>
    <s v="TKSAL-021"/>
    <s v="Platen Fan Adjustment NG"/>
    <x v="1"/>
    <s v="Low"/>
    <s v="Operator"/>
    <s v="PG"/>
    <m/>
    <m/>
    <m/>
    <s v="Platen fan adjusment"/>
    <s v="During Platen Fan Adjustment, value NG Minimum"/>
    <s v="[{&quot;name&quot;:&quot;Platen Fan NG, Platen Gap_Nazar Bagus H..jpg&quot;,&quot;link&quot;:&quot;https://epsongroup-my.sharepoint.com/personal/brian_ramdhani_epson_co_id/Documents/Apps/Microsoft%20Forms/TAKATSU%20ANALYZE%20REPORT/Question/Platen%20Fan%20NG,%20Platen%20Gap_Nazar%20Bagus%20H..jpg&quot;,&quot;id&quot;:&quot;01D6UVHSL2J3ZKK4LR35HKH4GBACKK7NJZ&quot;,&quot;type&quot;:null,&quot;size&quot;:55574,&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Fan%20NG,%20Platen%20Gap_Nazar%20Bagus%20H..jpg"/>
    <s v="wa2Hg6noAEaJ4Mjn9p-_ssgAO1xP"/>
    <m/>
    <m/>
    <m/>
    <m/>
    <m/>
    <m/>
    <m/>
    <m/>
    <m/>
    <m/>
    <m/>
    <m/>
    <m/>
    <s v="Gap on frame platen because not insert into dowel"/>
    <m/>
    <m/>
    <s v="repair platen become OK and check all Sub Assy Platen Unit"/>
    <s v="Nazar Bagus H."/>
  </r>
  <r>
    <s v="AR250108075823"/>
    <m/>
    <x v="22"/>
    <m/>
    <s v="Takatsu-4 Autocutter"/>
    <m/>
    <m/>
    <s v="TKSAL-021"/>
    <s v="Platen Fan Adjustment NG"/>
    <x v="1"/>
    <s v="Low"/>
    <s v="Operator"/>
    <s v="PG"/>
    <m/>
    <m/>
    <m/>
    <s v="Saat menu platen adjusmet"/>
    <s v="During Platen Fan Adjustment, value NG Minimum"/>
    <s v="[{&quot;name&quot;:&quot;Platen Fan NG 8 jan_Nazar Bagus H..jpg&quot;,&quot;link&quot;:&quot;https://epsongroup-my.sharepoint.com/personal/brian_ramdhani_epson_co_id/Documents/Apps/Microsoft%20Forms/TAKATSU%20ANALYZE%20REPORT/Question/Platen%20Fan%20NG%208%20jan_Nazar%20Bagus%20H..jpg&quot;,&quot;id&quot;:&quot;01D6UVHSOW6I54JX6ABBEIU5ZZRI4RPA7J&quot;,&quot;type&quot;:null,&quot;size&quot;:54695,&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Fan%20NG%208%20jan_Nazar%20Bagus%20H..jpg"/>
    <s v="a1r_WbJ7O0G03uEu-42dvMgAGlnw"/>
    <m/>
    <m/>
    <m/>
    <m/>
    <m/>
    <m/>
    <m/>
    <m/>
    <m/>
    <m/>
    <m/>
    <m/>
    <m/>
    <s v="terdapat value produk sebelumnya"/>
    <m/>
    <m/>
    <s v="reset semua value menggunakan kenpro menjadi OK"/>
    <s v="Nazar Bagus H."/>
  </r>
  <r>
    <s v="AR250109014020"/>
    <m/>
    <x v="23"/>
    <m/>
    <s v="Takatsu-8 Autocutter"/>
    <m/>
    <m/>
    <s v="TKSAL-025"/>
    <s v="Shutter Check Noise"/>
    <x v="9"/>
    <s v="Low"/>
    <s v="Operator"/>
    <s v="PG"/>
    <m/>
    <m/>
    <m/>
    <s v="Saat proses shutter cek"/>
    <s v="During Shutter check any small noise"/>
    <s v="[{&quot;name&quot;:&quot;False Reject_Nazar Bagus H..PNG&quot;,&quot;link&quot;:&quot;https://epsongroup-my.sharepoint.com/personal/brian_ramdhani_epson_co_id/Documents/Apps/Microsoft%20Forms/TAKATSU%20ANALYZE%20REPORT/Question/False%20Reject_Nazar%20Bagus%20H..PNG&quot;,&quot;id&quot;:&quot;01D6UVHSNGIEMFSJ3H7NH2XUVOTXAICOBF&quot;,&quot;type&quot;:null,&quot;size&quot;:131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alse%20Reject_Nazar%20Bagus%20H..PNG"/>
    <s v="bAbiyrmbzUSzQGwDUxjj3sgALzR9"/>
    <m/>
    <m/>
    <m/>
    <m/>
    <m/>
    <m/>
    <m/>
    <m/>
    <m/>
    <m/>
    <m/>
    <m/>
    <m/>
    <s v="Not NG"/>
    <m/>
    <m/>
    <s v="Continue Inspection"/>
    <s v="Nazar Bagus H."/>
  </r>
  <r>
    <s v="AR250109014242"/>
    <m/>
    <x v="23"/>
    <m/>
    <s v="Takatsu-8 Autocutter"/>
    <m/>
    <m/>
    <s v="TKSAL-004"/>
    <s v="Abnormal PGU Movement"/>
    <x v="0"/>
    <s v="High"/>
    <s v="Operator"/>
    <s v="STG PH 2"/>
    <m/>
    <m/>
    <m/>
    <s v="-"/>
    <s v="PGU seret sedikit, tidak separah yang kemarin"/>
    <s v="[{&quot;name&quot;:&quot;False Reject_Nazar Bagus H. 1.PNG&quot;,&quot;link&quot;:&quot;https://epsongroup-my.sharepoint.com/personal/brian_ramdhani_epson_co_id/Documents/Apps/Microsoft%20Forms/TAKATSU%20ANALYZE%20REPORT/Question/False%20Reject_Nazar%20Bagus%20H.%201.PNG&quot;,&quot;id&quot;:&quot;01D6UVHSN7TFOGML7NBJHZJQZD7M4GKFFC&quot;,&quot;type&quot;:null,&quot;size&quot;:131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alse%20Reject_Nazar%20Bagus%20H.%201.PNG"/>
    <s v="tPxO08RSCUie_kYQtiEZZ8gAJ9BP"/>
    <m/>
    <m/>
    <m/>
    <m/>
    <m/>
    <m/>
    <m/>
    <m/>
    <m/>
    <m/>
    <m/>
    <m/>
    <m/>
    <s v="Frame Base"/>
    <m/>
    <m/>
    <s v="Addition Lumirar di JIG Frame Base"/>
    <s v="Nazar Bagus H."/>
  </r>
  <r>
    <s v="AR250109073004"/>
    <m/>
    <x v="23"/>
    <m/>
    <s v="Takatsu-8 Autocutter"/>
    <m/>
    <m/>
    <s v="TKSAL-021"/>
    <s v="Platen Fan Adjustment NG"/>
    <x v="1"/>
    <s v="Low"/>
    <s v="Operator"/>
    <s v="PG"/>
    <m/>
    <m/>
    <m/>
    <s v="Saat proses menu 4 platen fan adjustment"/>
    <s v="During adjustment at PG Stage, found platen fan adjustment NG"/>
    <s v="[{&quot;name&quot;:&quot;Platen fan adjustment_Zainul Muttaqin.png&quot;,&quot;link&quot;:&quot;https://epsongroup-my.sharepoint.com/personal/brian_ramdhani_epson_co_id/Documents/Apps/Microsoft%20Forms/TAKATSU%20ANALYZE%20REPORT/Question/Platen%20fan%20adjustment_Zainul%20Muttaqin.png&quot;,&quot;id&quot;:&quot;01D6UVHSLFFFBVMFAQQFHKSSJ7XO4OA67I&quot;,&quot;type&quot;:null,&quot;size&quot;:170890,&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fan%20adjustment_Zainul%20Muttaqin.png"/>
    <s v="l0NA-h58qEiE9cd2DOWy48gAMMwN"/>
    <m/>
    <m/>
    <m/>
    <m/>
    <m/>
    <m/>
    <m/>
    <m/>
    <m/>
    <m/>
    <m/>
    <m/>
    <m/>
    <s v="Still analyze"/>
    <m/>
    <m/>
    <s v="Still analyze"/>
    <s v="Zainul Muttaqin"/>
  </r>
  <r>
    <s v="AR250110015639"/>
    <m/>
    <x v="24"/>
    <m/>
    <s v="Takatsu-4 Autocutter"/>
    <m/>
    <m/>
    <s v="TKSAL-007"/>
    <s v="CSIC Check NG"/>
    <x v="13"/>
    <s v="High"/>
    <s v="Operator"/>
    <s v="PG"/>
    <m/>
    <m/>
    <m/>
    <s v="Saat proses power on"/>
    <s v="During initial power ON product, panel shown [MTC Box not installed]"/>
    <s v="[{&quot;name&quot;:&quot;FFC MTC Tear_Zainul Muttaqin.png&quot;,&quot;link&quot;:&quot;https://epsongroup-my.sharepoint.com/personal/brian_ramdhani_epson_co_id/Documents/Apps/Microsoft%20Forms/TAKATSU%20ANALYZE%20REPORT/Question/FFC%20MTC%20Tear_Zainul%20Muttaqin.png&quot;,&quot;id&quot;:&quot;01D6UVHSM3YQX5DL4JKBAJ7M25THKT2GE5&quot;,&quot;type&quot;:null,&quot;size&quot;:61765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FC%20MTC%20Tear_Zainul%20Muttaqin.png"/>
    <s v="L3Zw2lCl6UWUxgccMUMUk8gACx5m"/>
    <m/>
    <m/>
    <m/>
    <m/>
    <m/>
    <m/>
    <m/>
    <m/>
    <m/>
    <m/>
    <m/>
    <m/>
    <m/>
    <s v="FFC holder MTC Box was tear occured due to assembly by OPR"/>
    <m/>
    <m/>
    <s v="Reminding and retraining OPR, must follow checkpoint on SWP during assembly FFC"/>
    <s v="Zainul Muttaqin"/>
  </r>
  <r>
    <s v="AR250110031035"/>
    <m/>
    <x v="24"/>
    <m/>
    <s v="Takatsu-8 Autocutter"/>
    <m/>
    <m/>
    <s v="TKSAL-018"/>
    <s v="Peeler Measurement NG"/>
    <x v="21"/>
    <s v="Low"/>
    <s v="Operator"/>
    <s v="PG "/>
    <m/>
    <m/>
    <m/>
    <s v="Saat proses peeler measurment"/>
    <s v="During peeler measurement check, found the current results below standard"/>
    <s v="[{&quot;name&quot;:&quot;Peeler Measurement NG_Zainul Muttaqin.png&quot;,&quot;link&quot;:&quot;https://epsongroup-my.sharepoint.com/personal/brian_ramdhani_epson_co_id/Documents/Apps/Microsoft%20Forms/TAKATSU%20ANALYZE%20REPORT/Question/Peeler%20Measurement%20NG_Zainul%20Muttaqin.png&quot;,&quot;id&quot;:&quot;01D6UVHSIMZCTOHUQMDNC3YTQXGUOQMTDQ&quot;,&quot;type&quot;:null,&quot;size&quot;:266538,&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eeler%20Measurement%20NG_Zainul%20Muttaqin.png"/>
    <s v="6vs-HQIzJk6vUILBomOeTsgACmvC"/>
    <m/>
    <m/>
    <m/>
    <m/>
    <m/>
    <m/>
    <m/>
    <m/>
    <m/>
    <m/>
    <m/>
    <m/>
    <m/>
    <s v="Belt tension too loose adjustment by OPR"/>
    <m/>
    <m/>
    <s v="Re-adjustment belt tension by OPR become OK"/>
    <s v="Zainul Muttaqin"/>
  </r>
  <r>
    <s v="AR250110101756"/>
    <m/>
    <x v="24"/>
    <m/>
    <s v="Takatsu-8 Peeler"/>
    <m/>
    <m/>
    <s v="TKSAL-022"/>
    <s v="Printing Noise"/>
    <x v="19"/>
    <s v="Low"/>
    <s v="Operator"/>
    <s v="PRINTING "/>
    <m/>
    <m/>
    <m/>
    <s v="Saat proses inkcharge"/>
    <s v="During ink charge in Printing Stage, found Noise on MNU area (Judgement by OPR)"/>
    <s v="[{&quot;name&quot;:&quot;MNU Noise_Zainul Muttaqin.png&quot;,&quot;link&quot;:&quot;https://epsongroup-my.sharepoint.com/personal/brian_ramdhani_epson_co_id/Documents/Apps/Microsoft%20Forms/TAKATSU%20ANALYZE%20REPORT/Question/MNU%20Noise_Zainul%20Muttaqin.png&quot;,&quot;id&quot;:&quot;01D6UVHSLNC4RLCLRTDJGYHG64HNDDG442&quot;,&quot;type&quot;:null,&quot;size&quot;:26557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MNU%20Noise_Zainul%20Muttaqin.png"/>
    <s v="zyg3OwDulEio8kzMTi-JwMgAFEcd"/>
    <m/>
    <m/>
    <m/>
    <m/>
    <m/>
    <m/>
    <m/>
    <m/>
    <m/>
    <m/>
    <m/>
    <m/>
    <m/>
    <s v="Over judgement, OK retry in line"/>
    <m/>
    <m/>
    <s v="Over judgement, OK retry in line"/>
    <s v="Zainul Muttaqin"/>
  </r>
  <r>
    <s v="AR250113073224"/>
    <m/>
    <x v="25"/>
    <m/>
    <s v="Takatsu-4 Autocutter"/>
    <m/>
    <m/>
    <s v="TKSAL-011"/>
    <s v="Initial Setting NG"/>
    <x v="22"/>
    <s v="High"/>
    <s v="Operator"/>
    <s v="PG"/>
    <m/>
    <m/>
    <m/>
    <s v="saat proses airleak"/>
    <s v="During initialize product at Internal Stage, panel shown wait paper remove"/>
    <s v="[{&quot;name&quot;:&quot;Wait paper remove_Zainul Muttaqin.png&quot;,&quot;link&quot;:&quot;https://epsongroup-my.sharepoint.com/personal/brian_ramdhani_epson_co_id/Documents/Apps/Microsoft%20Forms/TAKATSU%20ANALYZE%20REPORT/Question/Wait%20paper%20remove_Zainul%20Muttaqin.png&quot;,&quot;id&quot;:&quot;01D6UVHSMYF2OXMZHFSJAKQJXW6KK7NID2&quot;,&quot;type&quot;:null,&quot;size&quot;:62576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Wait%20paper%20remove_Zainul%20Muttaqin.png"/>
    <s v="cxhKaJBM40OzLSAKF0m52cgAJ98i"/>
    <m/>
    <m/>
    <m/>
    <m/>
    <m/>
    <m/>
    <m/>
    <m/>
    <m/>
    <m/>
    <m/>
    <m/>
    <m/>
    <s v="Harness connection pinched during assembly by OPR"/>
    <m/>
    <m/>
    <s v="Reminding and retraining OPR must be follow all checkpoint on SWP"/>
    <s v="Zainul Muttaqin"/>
  </r>
  <r>
    <s v="AR250114074237"/>
    <m/>
    <x v="26"/>
    <m/>
    <s v="Takatsu-8 Autocutter"/>
    <m/>
    <m/>
    <s v="TKSAL-004"/>
    <s v="Abnormal PGU Movement"/>
    <x v="0"/>
    <s v="High"/>
    <s v="Operator"/>
    <s v="PRINT HEAD"/>
    <m/>
    <m/>
    <m/>
    <s v="Stil analiza"/>
    <s v="During open-close PGU Unit at PH stage, found PGU stuck/drag"/>
    <s v="[{&quot;name&quot;:&quot;PGU_Zainul Muttaqin 2.png&quot;,&quot;link&quot;:&quot;https://epsongroup-my.sharepoint.com/personal/brian_ramdhani_epson_co_id/Documents/Apps/Microsoft%20Forms/TAKATSU%20ANALYZE%20REPORT/Question/PGU_Zainul%20Muttaqin%202.png&quot;,&quot;id&quot;:&quot;01D6UVHSIVPX3H7DP6SZHJ5FDKWV4ECSAF&quot;,&quot;type&quot;:null,&quot;size&quot;:22759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GU_Zainul%20Muttaqin%202.png"/>
    <s v="D3Vt_-tVIUy4drrUp5kf_8gAA4Cj"/>
    <m/>
    <m/>
    <m/>
    <m/>
    <m/>
    <m/>
    <m/>
    <m/>
    <m/>
    <m/>
    <m/>
    <m/>
    <m/>
    <s v="Still analyze"/>
    <m/>
    <m/>
    <s v="Add checkpoint frame base fit with jig and request measurement part frame base to IQC"/>
    <s v="Zainul Muttaqin"/>
  </r>
  <r>
    <s v="AR250114104234"/>
    <m/>
    <x v="26"/>
    <m/>
    <s v="Takatsu-8 Autocutter"/>
    <m/>
    <m/>
    <s v="TKSAL-004"/>
    <s v="Abnormal PGU Movement"/>
    <x v="0"/>
    <s v="High"/>
    <s v="Operator"/>
    <s v="PRINT HEAD"/>
    <m/>
    <m/>
    <m/>
    <s v="Still analize"/>
    <s v="During open-close PGU Unit at PH stage, found PGU stuck/drag"/>
    <s v="[{&quot;name&quot;:&quot;PGU_Zainul Muttaqin 1.png&quot;,&quot;link&quot;:&quot;https://epsongroup-my.sharepoint.com/personal/brian_ramdhani_epson_co_id/Documents/Apps/Microsoft%20Forms/TAKATSU%20ANALYZE%20REPORT/Question/PGU_Zainul%20Muttaqin%201.png&quot;,&quot;id&quot;:&quot;01D6UVHSID2SDJ3UQBWVDJMT3LW3BVC2LR&quot;,&quot;type&quot;:null,&quot;size&quot;:22759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GU_Zainul%20Muttaqin%201.png"/>
    <s v="Bgxg99W6-U6EelwZjOLjt8gANG_6"/>
    <m/>
    <m/>
    <m/>
    <m/>
    <m/>
    <m/>
    <m/>
    <m/>
    <m/>
    <m/>
    <m/>
    <m/>
    <m/>
    <s v="Still analyze"/>
    <m/>
    <m/>
    <s v="Add checkpoint frame base fit with jig and request measurement part frame base to IQC"/>
    <s v="Zainul Muttaqin"/>
  </r>
  <r>
    <s v="AR250114125106"/>
    <m/>
    <x v="26"/>
    <m/>
    <s v="Takatsu-8 Autocutter"/>
    <m/>
    <m/>
    <s v="TKSAL-021"/>
    <s v="Platen Fan Adjustment NG"/>
    <x v="1"/>
    <s v="Low"/>
    <s v="Operator"/>
    <s v="PG"/>
    <m/>
    <m/>
    <m/>
    <s v="Still analize"/>
    <s v="Platen Fan Adjustment Check NG"/>
    <s v="[{&quot;name&quot;:&quot;Platen Fan NG 8 jan_Nazar Bagus H. 2.jpg&quot;,&quot;link&quot;:&quot;https://epsongroup-my.sharepoint.com/personal/brian_ramdhani_epson_co_id/Documents/Apps/Microsoft%20Forms/TAKATSU%20ANALYZE%20REPORT/Question/Platen%20Fan%20NG%208%20jan_Nazar%20Bagus%20H.%202.jpg&quot;,&quot;id&quot;:&quot;01D6UVHSMPGIR3KENCNZC3PKDKYYBNPIZM&quot;,&quot;type&quot;:null,&quot;size&quot;:54695,&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Fan%20NG%208%20jan_Nazar%20Bagus%20H.%202.jpg"/>
    <s v="uyxxFDEdqU2y0YzlMXER08gABOQ3"/>
    <m/>
    <m/>
    <m/>
    <m/>
    <m/>
    <m/>
    <m/>
    <m/>
    <m/>
    <m/>
    <m/>
    <m/>
    <m/>
    <s v="Drum Shutter Position NG"/>
    <m/>
    <m/>
    <s v="reset Shutter Drum Position Become OK"/>
    <s v="Nazar Bagus H."/>
  </r>
  <r>
    <s v="AR250115091849"/>
    <m/>
    <x v="27"/>
    <m/>
    <s v="Takatsu-8 Autocutter"/>
    <m/>
    <m/>
    <s v="TKSAL-026"/>
    <s v="Smear Print"/>
    <x v="23"/>
    <s v="Low"/>
    <s v="Operator"/>
    <s v="PRINTING"/>
    <m/>
    <m/>
    <m/>
    <s v="Jig 02 (saat proses print cek 4) "/>
    <s v="When Print Check 4 at printing stage, find SMEAR Print "/>
    <s v="[{&quot;name&quot;:&quot;SMEAR PRINT_Rio Rizki Khanigia.jpg&quot;,&quot;link&quot;:&quot;https://epsongroup-my.sharepoint.com/personal/brian_ramdhani_epson_co_id/Documents/Apps/Microsoft%20Forms/TAKATSU%20ANALYZE%20REPORT/Question/SMEAR%20PRINT_Rio%20Rizki%20Khanigia.jpg&quot;,&quot;id&quot;:&quot;01D6UVHSMTM46N4PTR75HIEHYKJATHRXQ3&quot;,&quot;type&quot;:null,&quot;size&quot;:6016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MEAR%20PRINT_Rio%20Rizki%20Khanigia.jpg"/>
    <s v="Nq2aIT0YL0KBikYg59JTdMgADt6i"/>
    <m/>
    <m/>
    <m/>
    <m/>
    <m/>
    <m/>
    <m/>
    <m/>
    <m/>
    <m/>
    <m/>
    <m/>
    <m/>
    <s v="Effect Treatment PGU Seret make position PGU not stable. "/>
    <m/>
    <m/>
    <s v="Change Paper Guide Unit, and positioning Frame Base. "/>
    <s v="Rio Rizki Khanigia"/>
  </r>
  <r>
    <s v="AR250116082615"/>
    <m/>
    <x v="28"/>
    <m/>
    <s v="Takatsu-8 Autocutter"/>
    <m/>
    <m/>
    <s v="TKSAL-004"/>
    <s v="Abnormal PGU Movement"/>
    <x v="0"/>
    <s v="High"/>
    <s v="Operator"/>
    <s v="PH 2"/>
    <m/>
    <m/>
    <m/>
    <s v="-"/>
    <s v="During OPR open - close PGU Unit in PH Stage, found hard to open - close [Judgement, OPR]."/>
    <s v="[{&quot;name&quot;:&quot;PGU Seret_Zainul Muttaqin.jpg&quot;,&quot;link&quot;:&quot;https://epsongroup-my.sharepoint.com/personal/brian_ramdhani_epson_co_id/Documents/Apps/Microsoft%20Forms/TAKATSU%20ANALYZE%20REPORT/Question/PGU%20Seret_Zainul%20Muttaqin.jpg&quot;,&quot;id&quot;:&quot;01D6UVHSJGNESFRECFFNALHJW22ED4S43X&quot;,&quot;type&quot;:null,&quot;size&quot;:12773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GU%20Seret_Zainul%20Muttaqin.jpg"/>
    <s v="NJgZFG9JIECF7Aa8tjZURsgAEIJR"/>
    <m/>
    <m/>
    <m/>
    <m/>
    <m/>
    <m/>
    <m/>
    <m/>
    <m/>
    <m/>
    <m/>
    <m/>
    <m/>
    <s v="Retry in line OK, over judgement"/>
    <m/>
    <m/>
    <s v="Retry in line OK, over judgement"/>
    <s v="Zainul Muttaqin"/>
  </r>
  <r>
    <s v="AR250116092544"/>
    <m/>
    <x v="28"/>
    <m/>
    <s v="Takatsu-8 Autocutter"/>
    <m/>
    <m/>
    <s v="TKSAL-025"/>
    <s v="Shutter Check Noise"/>
    <x v="9"/>
    <s v="Low"/>
    <s v="Operator"/>
    <s v="PG"/>
    <m/>
    <m/>
    <m/>
    <s v="Saat proses shutter cek"/>
    <s v="During the printer was checking with menu shutter check, found noise on gear assy area"/>
    <s v="[{&quot;name&quot;:&quot;Platen noise in gear assy area_Zainul Muttaqin.png&quot;,&quot;link&quot;:&quot;https://epsongroup-my.sharepoint.com/personal/brian_ramdhani_epson_co_id/Documents/Apps/Microsoft%20Forms/TAKATSU%20ANALYZE%20REPORT/Question/Platen%20noise%20in%20gear%20assy%20area_Zainul%20Muttaqin.png&quot;,&quot;id&quot;:&quot;01D6UVHSKLGWYL6PUAWVEZBKFLLPYQNNT7&quot;,&quot;type&quot;:null,&quot;size&quot;:15469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noise%20in%20gear%20assy%20area_Zainul%20Muttaqin.png"/>
    <s v="SYY0IyZ_MUmrtsF6BRhTa8gAOr6b"/>
    <m/>
    <m/>
    <m/>
    <m/>
    <m/>
    <m/>
    <m/>
    <m/>
    <m/>
    <m/>
    <m/>
    <m/>
    <m/>
    <s v="Retry in line OK"/>
    <m/>
    <m/>
    <s v="Retry in line OK"/>
    <s v="Zainul Muttaqin"/>
  </r>
  <r>
    <s v="AR250116121011"/>
    <m/>
    <x v="28"/>
    <m/>
    <s v="Takatsu-8 Autocutter"/>
    <m/>
    <m/>
    <s v="TKSAL-022"/>
    <s v="Printing Noise"/>
    <x v="19"/>
    <s v="Low"/>
    <s v="Operator"/>
    <s v="PRINTING "/>
    <m/>
    <m/>
    <m/>
    <s v="Saat calibrasi"/>
    <s v="During the printer was checking with menu calibration in Printing, found noise with hard vibration"/>
    <s v="[{&quot;name&quot;:&quot;Sentrifugal fan_Zainul Muttaqin.png&quot;,&quot;link&quot;:&quot;https://epsongroup-my.sharepoint.com/personal/brian_ramdhani_epson_co_id/Documents/Apps/Microsoft%20Forms/TAKATSU%20ANALYZE%20REPORT/Question/Sentrifugal%20fan_Zainul%20Muttaqin.png&quot;,&quot;id&quot;:&quot;01D6UVHSNG4U6PXSLXAREZUVYTVICJWNWN&quot;,&quot;type&quot;:null,&quot;size&quot;:6804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entrifugal%20fan_Zainul%20Muttaqin.png"/>
    <s v="HlfhWDoH3EuVyf-2D5l8NcgAJfcn"/>
    <m/>
    <m/>
    <m/>
    <m/>
    <m/>
    <m/>
    <m/>
    <m/>
    <m/>
    <m/>
    <m/>
    <m/>
    <m/>
    <s v="Sentrifugal fan NG, have hard vibration"/>
    <m/>
    <m/>
    <s v="Change sentrifugal fan become OK, still analyze"/>
    <s v="Zainul Muttaqin"/>
  </r>
  <r>
    <s v="AR250121072005"/>
    <m/>
    <x v="29"/>
    <m/>
    <s v="Takatsu-8 Autocutter"/>
    <m/>
    <m/>
    <s v="TKSAL-009"/>
    <s v="DMAV"/>
    <x v="8"/>
    <s v="High"/>
    <s v="Operator"/>
    <s v="PRINTING (TAKATSU 8 D) "/>
    <m/>
    <m/>
    <m/>
    <s v="Jig 06 "/>
    <s v="DMAV during initial charge"/>
    <s v="[{&quot;name&quot;:&quot;DMAV 1_Nazar Bagus H..jpg&quot;,&quot;link&quot;:&quot;https://epsongroup-my.sharepoint.com/personal/brian_ramdhani_epson_co_id/Documents/Apps/Microsoft%20Forms/TAKATSU%20ANALYZE%20REPORT/Question/DMAV%201_Nazar%20Bagus%20H..jpg&quot;,&quot;id&quot;:&quot;01D6UVHSIXBP2XYNGHKRALF26GNPE3FLDC&quot;,&quot;type&quot;:null,&quot;size&quot;:1412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MAV%201_Nazar%20Bagus%20H..jpg"/>
    <s v="gSuX0-WlrkeY0AiG0ziIUsgANZV1"/>
    <m/>
    <m/>
    <m/>
    <m/>
    <m/>
    <m/>
    <m/>
    <m/>
    <m/>
    <m/>
    <m/>
    <m/>
    <m/>
    <s v="Print Head"/>
    <m/>
    <m/>
    <s v="Wiping in Repair OK"/>
    <s v="Nazar Bagus H."/>
  </r>
  <r>
    <s v="AR250124085317"/>
    <m/>
    <x v="30"/>
    <m/>
    <s v="Takatsu-8 Autocutter"/>
    <m/>
    <m/>
    <s v="TKSAL-026"/>
    <s v="Smear Print"/>
    <x v="23"/>
    <s v="Low"/>
    <s v="Operator"/>
    <s v="PRINTING"/>
    <m/>
    <m/>
    <m/>
    <s v="Jig 8 saat proses print head incline adjusment"/>
    <s v="When [Print Head Incline Adjustment] at printing stage, find SMEAR Print"/>
    <s v="[{&quot;name&quot;:&quot;Smear print occured due to seal supply unit_Zainul Muttaqin.png&quot;,&quot;link&quot;:&quot;https://epsongroup-my.sharepoint.com/personal/brian_ramdhani_epson_co_id/Documents/Apps/Microsoft%20Forms/TAKATSU%20ANALYZE%20REPORT/Question/Smear%20print%20occured%20due%20to%20seal%20supply%20unit_Zainul%20Muttaqin.png&quot;,&quot;id&quot;:&quot;01D6UVHSJK57LPYR7J2VE232TRQ2CVZYUS&quot;,&quot;type&quot;:null,&quot;size&quot;:218257,&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mear%20print%20occured%20due%20to%20seal%20supply%20unit_Zainul%20Muttaqin.png"/>
    <s v="6kQ4IMV91UaZVrfx8W_IJcgAICQG"/>
    <m/>
    <m/>
    <m/>
    <m/>
    <m/>
    <m/>
    <m/>
    <m/>
    <m/>
    <m/>
    <m/>
    <m/>
    <m/>
    <s v="Seal supply unit hit by duct CR"/>
    <m/>
    <m/>
    <s v="Reminding and retraining OPR PH Stage, to be careful when assembly to PH"/>
    <s v="Zainul Muttaqin"/>
  </r>
  <r>
    <s v="AR250124090633"/>
    <m/>
    <x v="30"/>
    <m/>
    <s v="Takatsu-8 Autocutter"/>
    <m/>
    <m/>
    <s v="TKSAL-017"/>
    <s v="Paper Jam"/>
    <x v="5"/>
    <s v="High"/>
    <s v="Operator"/>
    <s v="PRINTING"/>
    <m/>
    <m/>
    <m/>
    <s v="Jig 06"/>
    <s v="During the printer was checking with menu nozzle check, found paper stuck in plate platen"/>
    <s v="[{&quot;name&quot;:&quot;Paper Stuck_Zainul Muttaqin.png&quot;,&quot;link&quot;:&quot;https://epsongroup-my.sharepoint.com/personal/brian_ramdhani_epson_co_id/Documents/Apps/Microsoft%20Forms/TAKATSU%20ANALYZE%20REPORT/Question/Paper%20Stuck_Zainul%20Muttaqin.png&quot;,&quot;id&quot;:&quot;01D6UVHSOW3DGMSAJVXBG2MKOJYM2O3NTS&quot;,&quot;type&quot;:null,&quot;size&quot;:76000,&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aper%20Stuck_Zainul%20Muttaqin.png"/>
    <s v="rzdtwRf-HkqV7KrWQuJmS8gAJUoL"/>
    <m/>
    <m/>
    <m/>
    <m/>
    <m/>
    <m/>
    <m/>
    <m/>
    <m/>
    <m/>
    <m/>
    <m/>
    <m/>
    <s v="Plate platen bending [convex upwards]"/>
    <m/>
    <m/>
    <s v="Change plate platen with new plate, monitoring this defect"/>
    <s v="Zainul Muttaqin"/>
  </r>
  <r>
    <s v="AR250128035001"/>
    <m/>
    <x v="31"/>
    <m/>
    <s v="Takatsu-4 Autocutter"/>
    <m/>
    <m/>
    <s v="TKSAL-014"/>
    <s v="Miss Piping NG"/>
    <x v="24"/>
    <s v="High"/>
    <s v="Operator"/>
    <s v="PRINTING "/>
    <m/>
    <m/>
    <m/>
    <s v="Jig 02"/>
    <s v="Misspiping on Printing"/>
    <s v="[{&quot;name&quot;:&quot;Platen Fan NG 8 jan_Nazar Bagus H. 1.jpg&quot;,&quot;link&quot;:&quot;https://epsongroup-my.sharepoint.com/personal/brian_ramdhani_epson_co_id/Documents/Apps/Microsoft%20Forms/TAKATSU%20ANALYZE%20REPORT/Question/Platen%20Fan%20NG%208%20jan_Nazar%20Bagus%20H.%201.jpg&quot;,&quot;id&quot;:&quot;01D6UVHSJ2YD3VRJJ3WVEKYMCQORGJQGS4&quot;,&quot;type&quot;:null,&quot;size&quot;:54695,&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laten%20Fan%20NG%208%20jan_Nazar%20Bagus%20H.%201.jpg"/>
    <s v="ywSnWRFnNkuUOABEaQTeKcgAL_j6"/>
    <m/>
    <m/>
    <m/>
    <m/>
    <m/>
    <m/>
    <m/>
    <m/>
    <m/>
    <m/>
    <m/>
    <m/>
    <m/>
    <s v="trapped air on Ink End Sensor"/>
    <m/>
    <m/>
    <s v="Move Manually Ink End Sensor to release trapped air become OK"/>
    <s v="Nazar Bagus H."/>
  </r>
  <r>
    <s v="AR250128035853"/>
    <m/>
    <x v="31"/>
    <m/>
    <s v="Takatsu-4 Autocutter"/>
    <m/>
    <m/>
    <s v="TKSAL-006"/>
    <s v="CR Measurement NG"/>
    <x v="25"/>
    <s v="High"/>
    <s v="Operator"/>
    <s v="PG"/>
    <m/>
    <m/>
    <m/>
    <s v="Saat proses cr measurment"/>
    <s v="CR Measurement NG"/>
    <s v="[{&quot;name&quot;:&quot;CR Measurement_Nazar Bagus H..png&quot;,&quot;link&quot;:&quot;https://epsongroup-my.sharepoint.com/personal/brian_ramdhani_epson_co_id/Documents/Apps/Microsoft%20Forms/TAKATSU%20ANALYZE%20REPORT/Question/CR%20Measurement_Nazar%20Bagus%20H..png&quot;,&quot;id&quot;:&quot;01D6UVHSMWMIMLSKH7RNEYYPC7PEY6RXA5&quot;,&quot;type&quot;:null,&quot;size&quot;:1597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CR%20Measurement_Nazar%20Bagus%20H..png"/>
    <s v="2ydM9VUGP0mibTjmn-Yo5MgADTWZ"/>
    <m/>
    <m/>
    <m/>
    <m/>
    <m/>
    <m/>
    <m/>
    <m/>
    <m/>
    <m/>
    <m/>
    <m/>
    <m/>
    <s v="Not enough grease on Shaft CR"/>
    <m/>
    <m/>
    <s v="Add Grease on Shaft CR Become OK 5x CR Measurement OK"/>
    <s v="Nazar Bagus H."/>
  </r>
  <r>
    <s v="AR250128080805"/>
    <m/>
    <x v="31"/>
    <m/>
    <s v="Takatsu-8 Autocutter"/>
    <m/>
    <m/>
    <s v="TKSAL-010"/>
    <s v="DO"/>
    <x v="2"/>
    <s v="High"/>
    <s v="Operator"/>
    <s v="PRINTING "/>
    <m/>
    <m/>
    <m/>
    <s v="Jig 02"/>
    <s v="DO"/>
    <s v="[{&quot;name&quot;:&quot;DMAV_Nazar Bagus H. 2.jpg&quot;,&quot;link&quot;:&quot;https://epsongroup-my.sharepoint.com/personal/brian_ramdhani_epson_co_id/Documents/Apps/Microsoft%20Forms/TAKATSU%20ANALYZE%20REPORT/Question/DMAV_Nazar%20Bagus%20H.%202.jpg&quot;,&quot;id&quot;:&quot;01D6UVHSPJXXLDCH2R2JDZOH4DUB4ENJ5A&quot;,&quot;type&quot;:null,&quot;size&quot;:52376,&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DMAV_Nazar%20Bagus%20H.%202.jpg"/>
    <s v="Ws1c-TlQg0eI_oHZBOM3u8gAHQup"/>
    <m/>
    <m/>
    <m/>
    <m/>
    <m/>
    <m/>
    <m/>
    <m/>
    <m/>
    <m/>
    <m/>
    <m/>
    <m/>
    <s v="Any F/m on Surface PH"/>
    <m/>
    <m/>
    <s v="WIping PH in Repair OK"/>
    <s v="Nazar Bagus H."/>
  </r>
  <r>
    <s v="AR250130011154"/>
    <m/>
    <x v="32"/>
    <m/>
    <s v="Takatsu-8 Autocutter"/>
    <m/>
    <m/>
    <s v="TKSAL-016"/>
    <s v="No Power"/>
    <x v="26"/>
    <s v="Low"/>
    <s v="Operator"/>
    <s v="INTERNAL"/>
    <m/>
    <m/>
    <m/>
    <s v="Saat power on"/>
    <s v="During Initial Power On, product cannot be powered on"/>
    <s v="[{&quot;name&quot;:&quot;No Power_Nazar Bagus H..png&quot;,&quot;link&quot;:&quot;https://epsongroup-my.sharepoint.com/personal/brian_ramdhani_epson_co_id/Documents/Apps/Microsoft%20Forms/TAKATSU%20ANALYZE%20REPORT/Question/No%20Power_Nazar%20Bagus%20H..png&quot;,&quot;id&quot;:&quot;01D6UVHSNSGWRXRMMHD5C3PHGNJ4D6R7K7&quot;,&quot;type&quot;:null,&quot;size&quot;:511,&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20Power_Nazar%20Bagus%20H..png"/>
    <s v="gfsRPwccTEyIyQXJbOCWaMgAPDTd"/>
    <m/>
    <m/>
    <m/>
    <m/>
    <m/>
    <m/>
    <m/>
    <m/>
    <m/>
    <m/>
    <m/>
    <m/>
    <m/>
    <s v="FFC Panel NG"/>
    <m/>
    <m/>
    <s v="Change FFC Panel OK"/>
    <s v="Nazar Bagus H."/>
  </r>
  <r>
    <s v="AR250131012551"/>
    <m/>
    <x v="33"/>
    <m/>
    <s v="Takatsu-4 Peeler"/>
    <m/>
    <m/>
    <s v="TKSAL-018"/>
    <s v="Peeler Measurement NG"/>
    <x v="21"/>
    <s v="Low"/>
    <s v="Operator"/>
    <s v="PG"/>
    <m/>
    <m/>
    <m/>
    <s v="Proses peeler measurment"/>
    <s v="When the printer to checking with menu peeler measurement, found NG lower"/>
    <s v="[{&quot;name&quot;:&quot;Peeler Measurement NG_Zainul Muttaqin 1.jpg&quot;,&quot;link&quot;:&quot;https://epsongroup-my.sharepoint.com/personal/brian_ramdhani_epson_co_id/Documents/Apps/Microsoft%20Forms/TAKATSU%20ANALYZE%20REPORT/Question/Peeler%20Measurement%20NG_Zainul%20Muttaqin%201.jpg&quot;,&quot;id&quot;:&quot;01D6UVHSONVLINFQVGQFBIA4Z5T3Z4SFHW&quot;,&quot;type&quot;:null,&quot;size&quot;:18971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eeler%20Measurement%20NG_Zainul%20Muttaqin%201.jpg"/>
    <s v="gZ1jPLTqmkalz46baXliO8gAG5EY"/>
    <m/>
    <m/>
    <m/>
    <m/>
    <m/>
    <m/>
    <m/>
    <m/>
    <m/>
    <m/>
    <m/>
    <m/>
    <m/>
    <s v="Belt tension in lower from STD [Act: 8 N, STD: 9 -11 N]"/>
    <m/>
    <m/>
    <s v="Resetting belt tension to [Current: 11 N, STD: 9 -11 N]"/>
    <s v="Zainul Muttaqin"/>
  </r>
  <r>
    <s v="AR250131015643"/>
    <m/>
    <x v="33"/>
    <m/>
    <s v="Takatsu-4 Autocutter"/>
    <m/>
    <m/>
    <s v="TKSAL-016"/>
    <s v="No Power"/>
    <x v="26"/>
    <s v="Low"/>
    <s v="Operator"/>
    <s v="INTERNAL"/>
    <m/>
    <m/>
    <m/>
    <s v="Saat power on"/>
    <s v="During Initial Power On, Product cannot on"/>
    <s v="[{&quot;name&quot;:&quot;No Power FFC Panel_Nazar Bagus H..jpg&quot;,&quot;link&quot;:&quot;https://epsongroup-my.sharepoint.com/personal/brian_ramdhani_epson_co_id/Documents/Apps/Microsoft%20Forms/TAKATSU%20ANALYZE%20REPORT/Question/No%20Power%20FFC%20Panel_Nazar%20Bagus%20H..jpg&quot;,&quot;id&quot;:&quot;01D6UVHSPU5SAR4LZDIRFLZRAQIJ7PC7KB&quot;,&quot;type&quot;:null,&quot;size&quot;:2687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20Power%20FFC%20Panel_Nazar%20Bagus%20H..jpg"/>
    <s v="9K39MZuZGE-Xmf7BcAabwsgALiWw"/>
    <m/>
    <m/>
    <m/>
    <m/>
    <m/>
    <m/>
    <m/>
    <m/>
    <m/>
    <m/>
    <m/>
    <m/>
    <m/>
    <s v="Product Using FFC Panel Trial (FFC Panel's Product No Power)"/>
    <m/>
    <m/>
    <s v="Use OK FFC Panel OK"/>
    <s v="Nazar Bagus H."/>
  </r>
  <r>
    <s v="AR250131105742"/>
    <m/>
    <x v="33"/>
    <m/>
    <s v="Takatsu-8 Autocutter"/>
    <m/>
    <m/>
    <s v="TKSAL-016"/>
    <s v="No Power"/>
    <x v="26"/>
    <s v="Low"/>
    <s v="Operator"/>
    <s v="INTERNAL "/>
    <m/>
    <m/>
    <m/>
    <s v="Saat power on"/>
    <s v="No Power During Initial Power On"/>
    <s v="[{&quot;name&quot;:&quot;No Power Prog not Full Insert_Nazar Bagus H..jpg&quot;,&quot;link&quot;:&quot;https://epsongroup-my.sharepoint.com/personal/brian_ramdhani_epson_co_id/Documents/Apps/Microsoft%20Forms/TAKATSU%20ANALYZE%20REPORT/Question/No%20Power%20Prog%20not%20Full%20Insert_Nazar%20Bagus%20H..jpg&quot;,&quot;id&quot;:&quot;01D6UVHSM2F5OMZXVJQNA3TOXDZSPHJW5C&quot;,&quot;type&quot;:null,&quot;size&quot;:2586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20Power%20Prog%20not%20Full%20Insert_Nazar%20Bagus%20H..jpg"/>
    <s v="bBcwJuC3uU-9fWxXgOlFrcgAED_8"/>
    <m/>
    <m/>
    <m/>
    <m/>
    <m/>
    <m/>
    <m/>
    <m/>
    <m/>
    <m/>
    <m/>
    <m/>
    <m/>
    <s v="CH77 prog Not Full Insert"/>
    <m/>
    <m/>
    <s v="Re assy CH77 Prog become OK, Rework Stock WIP, remind operator to ensure all full insert"/>
    <s v="Nazar Bagus H."/>
  </r>
  <r>
    <s v="AR250203074203"/>
    <m/>
    <x v="34"/>
    <m/>
    <s v="Takatsu-4 Autocutter"/>
    <m/>
    <m/>
    <s v="TKSAL-001"/>
    <s v="Abnormal CR Movement"/>
    <x v="15"/>
    <e v="#N/A"/>
    <s v="Operator"/>
    <s v="PG"/>
    <m/>
    <m/>
    <m/>
    <s v="Saat proses power on"/>
    <s v="During CR Measurement found abnormality"/>
    <s v="[{&quot;name&quot;:&quot;False Reject_Nazar Bagus H. 3.PNG&quot;,&quot;link&quot;:&quot;https://epsongroup-my.sharepoint.com/personal/brian_ramdhani_epson_co_id/Documents/Apps/Microsoft%20Forms/TAKATSU%20ANALYZE%20REPORT/Question/False%20Reject_Nazar%20Bagus%20H.%203.PNG&quot;,&quot;id&quot;:&quot;01D6UVHSMZAY3VOLZC4NDZKJPDUSUKBKZ5&quot;,&quot;type&quot;:null,&quot;size&quot;:131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False%20Reject_Nazar%20Bagus%20H.%203.PNG"/>
    <s v="7Mhk4VBPe0SlNY0Tg-18mcgACQtj"/>
    <m/>
    <m/>
    <m/>
    <m/>
    <m/>
    <m/>
    <m/>
    <m/>
    <m/>
    <m/>
    <m/>
    <m/>
    <m/>
    <s v="Flase Reject"/>
    <m/>
    <m/>
    <s v="Check 5x CR Measurement and CR Scale Check OK"/>
    <s v="Nazar Bagus H."/>
  </r>
  <r>
    <s v="AR250203093520"/>
    <m/>
    <x v="34"/>
    <m/>
    <s v="Takatsu-8 Peeler"/>
    <m/>
    <m/>
    <s v="TKSAL-018"/>
    <s v="Peeler Measurement NG"/>
    <x v="21"/>
    <s v="Low"/>
    <s v="Operator"/>
    <s v="PG "/>
    <m/>
    <m/>
    <m/>
    <s v="Proses pg"/>
    <s v="When the printer to running with menu peeler measurement check, found NG lower"/>
    <s v="[{&quot;name&quot;:&quot;Peeler Measurement NG_Zainul Muttaqin.jpg&quot;,&quot;link&quot;:&quot;https://epsongroup-my.sharepoint.com/personal/brian_ramdhani_epson_co_id/Documents/Apps/Microsoft%20Forms/TAKATSU%20ANALYZE%20REPORT/Question/Peeler%20Measurement%20NG_Zainul%20Muttaqin.jpg&quot;,&quot;id&quot;:&quot;01D6UVHSOJHVMSK3BWQZHJCJNKYJCIYWHW&quot;,&quot;type&quot;:null,&quot;size&quot;:189719,&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Peeler%20Measurement%20NG_Zainul%20Muttaqin.jpg"/>
    <s v="aUbE6Kh9Fkyt-OphZUW09sgAOFo3"/>
    <m/>
    <m/>
    <m/>
    <m/>
    <m/>
    <m/>
    <m/>
    <m/>
    <m/>
    <m/>
    <m/>
    <m/>
    <m/>
    <s v="Belt tension in lower from STD, [max 9 - 11 N]"/>
    <m/>
    <m/>
    <s v="Resetting belt tension by OPR, [11 N]"/>
    <s v="Zainul Muttaqin"/>
  </r>
  <r>
    <s v="AR250204103917"/>
    <m/>
    <x v="35"/>
    <m/>
    <s v="Takatsu-4 Peeler"/>
    <m/>
    <m/>
    <s v="TKSAL-024"/>
    <s v="Shutter Check NG"/>
    <x v="27"/>
    <s v="Low"/>
    <s v="Operator"/>
    <s v="PG"/>
    <m/>
    <m/>
    <m/>
    <s v="saat proses pg"/>
    <s v="During Shutter Check, Found Vacuum Value Jig 2 Hole 1 NG"/>
    <s v="[{&quot;name&quot;:&quot;SHutter_Nazar Bagus H..png&quot;,&quot;link&quot;:&quot;https://epsongroup-my.sharepoint.com/personal/brian_ramdhani_epson_co_id/Documents/Apps/Microsoft%20Forms/TAKATSU%20ANALYZE%20REPORT/Question/SHutter_Nazar%20Bagus%20H..png&quot;,&quot;id&quot;:&quot;01D6UVHSIU7RNGF3EVL5HLHQMHQCAR6DPN&quot;,&quot;type&quot;:null,&quot;size&quot;:342252,&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SHutter_Nazar%20Bagus%20H..png"/>
    <s v="O-jrEkQv9U6mUeUAqMVK9cgAGRhe"/>
    <m/>
    <m/>
    <m/>
    <m/>
    <m/>
    <m/>
    <m/>
    <m/>
    <m/>
    <m/>
    <m/>
    <m/>
    <m/>
    <s v="PACKING,PLATEN,UPPER Deform on Area Hole 1"/>
    <m/>
    <m/>
    <s v="Change PACKING,PLATEN,UPPER Missing on Area Hole 1 become OK"/>
    <s v="Nazar Bagus H."/>
  </r>
  <r>
    <s v="AR250205052130"/>
    <m/>
    <x v="36"/>
    <m/>
    <s v="Takatsu-8 Autocutter"/>
    <m/>
    <m/>
    <s v="TKSAL-016"/>
    <s v="No Power"/>
    <x v="26"/>
    <s v="Low"/>
    <s v="Operator"/>
    <s v="INTERNAL"/>
    <m/>
    <m/>
    <m/>
    <s v="Saat power on"/>
    <s v="During initial power ON product in Air Leak Stage, found No Power"/>
    <s v="[{&quot;name&quot;:&quot;No Power_Zainul Muttaqin.png&quot;,&quot;link&quot;:&quot;https://epsongroup-my.sharepoint.com/personal/brian_ramdhani_epson_co_id/Documents/Apps/Microsoft%20Forms/TAKATSU%20ANALYZE%20REPORT/Question/No%20Power_Zainul%20Muttaqin.png&quot;,&quot;id&quot;:&quot;01D6UVHSMCXZGZTV4MYBAKPRYWL2GMDNAT&quot;,&quot;type&quot;:null,&quot;size&quot;:191313,&quot;referenceId&quot;:&quot;01D6UVHSOX5DG5RX522VGYFCV365U3UBU3&quot;,&quot;driveId&quot;:&quot;b!7qg8FsnQY0iiT36_x6Novv_3J9v4MtxPsytkCbb-ZPz3ScQFcxKeSqI2jw7AAtnZ&quot;,&quot;status&quot;:1,&quot;uploadSessionUrl&quot;:null}]"/>
    <s v="https://epsongroup-my.sharepoint.com/personal/brian_ramdhani_epson_co_id/Documents/Apps/Microsoft%20Forms/TAKATSU%20ANALYZE%20REPORT/Question/No%20Power_Zainul%20Muttaqin.png"/>
    <s v="eQEDgx7cpE-lUUHWST58JsgAG94_"/>
    <m/>
    <m/>
    <m/>
    <m/>
    <m/>
    <m/>
    <m/>
    <m/>
    <m/>
    <m/>
    <m/>
    <m/>
    <m/>
    <s v="Mainboard problem"/>
    <m/>
    <m/>
    <s v="Change M/B in line, still analyze, and monitoring this defect"/>
    <s v="Zainul Muttaqin"/>
  </r>
  <r>
    <s v="AR250206021932"/>
    <m/>
    <x v="37"/>
    <m/>
    <s v="Takatsu-8 Peeler"/>
    <m/>
    <m/>
    <s v="TKSAL-018"/>
    <s v="Peeler Measurement NG"/>
    <x v="21"/>
    <s v="Low"/>
    <s v="Operator"/>
    <s v="PG"/>
    <m/>
    <m/>
    <m/>
    <s v="Still analize"/>
    <s v="Peeler Measurement NG Low"/>
    <s v="[{&quot;name&quot;:&quot;Peeler Measurement NG_Nazar Bagus H..jpg&quot;,&quot;link&quot;:&quot;https://epsongroup-my.sharepoint.com/personal/brian_ramdhani_epson_co_id/Documents/Apps/Microsoft%20Forms/TAKATSU%20ANALYZE%20REPORT/Question/Peeler%20Measurement%20NG_Nazar%20Bagus%20H..jpg&quot;,&quot;id&quot;:&quot;01D6UVHSI2EKLFBO7N5RAL6EV7SX4AAXLY&quot;,&quot;type&quot;:null,&quot;size&quot;:174891,&quot;referenceId&quot;:&quot;01D6UVHSOX5DG5RX522VGYFCV365U3UBU3&quot;,&quot;driveId&quot;:&quot;b!7qg8FsnQY0iiT36_x6Novv_3J9v4MtxPsytkCbb-ZPz3ScQFcxKeSqI2jw7AAtnZ&quot;,&quot;status&quot;:1,&quot;uploadSessionUrl&quot;:null}]"/>
    <m/>
    <s v="yBtqGC7mckOzGk5aGRInhMgAH2FW"/>
    <m/>
    <m/>
    <m/>
    <m/>
    <m/>
    <m/>
    <m/>
    <m/>
    <m/>
    <m/>
    <m/>
    <m/>
    <m/>
    <s v="False Reject"/>
    <m/>
    <m/>
    <s v="Recheck Tension OK (Value 10) --&gt; Re Assy and Peeler Measurement 3x OK"/>
    <s v="Nazar Bagus H."/>
  </r>
  <r>
    <s v="AR250206022021"/>
    <m/>
    <x v="37"/>
    <m/>
    <s v="Takatsu-8 Peeler"/>
    <m/>
    <m/>
    <s v="TKSAL-019"/>
    <s v="Peeler Unit Noise"/>
    <x v="28"/>
    <s v="Low"/>
    <s v="Operator"/>
    <s v="PG"/>
    <m/>
    <m/>
    <m/>
    <s v="Still analize"/>
    <m/>
    <m/>
    <m/>
    <s v="nmbTZpF8OkWkN132uzb1asgAJ4w7"/>
    <m/>
    <m/>
    <m/>
    <m/>
    <m/>
    <m/>
    <m/>
    <m/>
    <m/>
    <m/>
    <m/>
    <m/>
    <m/>
    <m/>
    <m/>
    <m/>
    <m/>
    <m/>
  </r>
  <r>
    <s v="AR250207081821"/>
    <m/>
    <x v="38"/>
    <m/>
    <s v="Takatsu-8 Peeler"/>
    <m/>
    <m/>
    <s v="TKSAL-022"/>
    <s v="Printing Noise"/>
    <x v="19"/>
    <s v="Low"/>
    <s v="Operator"/>
    <s v="PRINTING "/>
    <m/>
    <m/>
    <m/>
    <s v="Noise saat louding kertas"/>
    <s v="During the product was inpect with menu peeler measurement, found peeler noise [cit cit]."/>
    <s v="[{&quot;name&quot;:&quot;Peeler Noise_Zainul Muttaqin.png&quot;,&quot;link&quot;:&quot;https://epsongroup-my.sharepoint.com/personal/brian_ramdhani_epson_co_id/Documents/Apps/Microsoft%20Forms/TAKATSU%20ANALYZE%20REPORT/Question/Peeler%20Noise_Zainul%20Muttaqin.png&quot;,&quot;id&quot;:&quot;01D6UVHSI52HJFV3MFKRHYKXNZN5GRLZFH&quot;,&quot;type&quot;:null,&quot;size&quot;:170844,&quot;referenceId&quot;:&quot;01D6UVHSOX5DG5RX522VGYFCV365U3UBU3&quot;,&quot;driveId&quot;:&quot;b!7qg8FsnQY0iiT36_x6Novv_3J9v4MtxPsytkCbb-ZPz3ScQFcxKeSqI2jw7AAtnZ&quot;,&quot;status&quot;:1,&quot;uploadSessionUrl&quot;:null}]"/>
    <m/>
    <s v="J697srVsvEuiHHQoTTOOWMgAKUcu"/>
    <m/>
    <m/>
    <m/>
    <m/>
    <m/>
    <m/>
    <m/>
    <m/>
    <m/>
    <m/>
    <m/>
    <m/>
    <m/>
    <s v="Roller peeler touch to paper guide peeler"/>
    <m/>
    <m/>
    <s v="Re-assembly paper guide peeler in peeler unit [ensure there is a gap, between two parts]"/>
    <s v="Zainul Muttaqin"/>
  </r>
  <r>
    <s v="AR250207090825"/>
    <m/>
    <x v="38"/>
    <m/>
    <s v="Takatsu-8 Autocutter"/>
    <m/>
    <m/>
    <s v="TKSAL-025"/>
    <s v="Shutter Check Noise"/>
    <x v="9"/>
    <s v="Low"/>
    <s v="Operator"/>
    <s v="STG PG"/>
    <m/>
    <m/>
    <m/>
    <s v="Saat proses shutter cek"/>
    <s v="Shutter Noise"/>
    <s v="[{&quot;name&quot;:&quot;False Reject_Nazar Bagus H. 4.PNG&quot;,&quot;link&quot;:&quot;https://epsongroup-my.sharepoint.com/personal/brian_ramdhani_epson_co_id/Documents/Apps/Microsoft%20Forms/TAKATSU%20ANALYZE%20REPORT/Question/False%20Reject_Nazar%20Bagus%20H.%204.PNG&quot;,&quot;id&quot;:&quot;01D6UVHSJNKOCRZZBKY5F2V6HBBZKL2TIK&quot;,&quot;type&quot;:null,&quot;size&quot;:1313,&quot;referenceId&quot;:&quot;01D6UVHSOX5DG5RX522VGYFCV365U3UBU3&quot;,&quot;driveId&quot;:&quot;b!7qg8FsnQY0iiT36_x6Novv_3J9v4MtxPsytkCbb-ZPz3ScQFcxKeSqI2jw7AAtnZ&quot;,&quot;status&quot;:1,&quot;uploadSessionUrl&quot;:null}]"/>
    <m/>
    <s v="0XSoZQG2v0SXO5aG4gZ5_MgAKYg9"/>
    <m/>
    <m/>
    <m/>
    <m/>
    <m/>
    <m/>
    <m/>
    <m/>
    <m/>
    <m/>
    <m/>
    <m/>
    <m/>
    <s v="False Reject"/>
    <m/>
    <m/>
    <s v="Re Check 3x OK"/>
    <s v="Nazar Bagus H."/>
  </r>
  <r>
    <s v="AR250210030911"/>
    <m/>
    <x v="39"/>
    <m/>
    <s v="Takatsu-4 Autocutter"/>
    <m/>
    <m/>
    <s v="TKSAL-003"/>
    <s v="Abnormal Paper Loading"/>
    <x v="10"/>
    <e v="#N/A"/>
    <s v="Operator"/>
    <s v="PG"/>
    <m/>
    <m/>
    <m/>
    <s v="Saat proses label inspection sheet"/>
    <s v="During Loading Paper Sensor BM, Paper loading nonstop"/>
    <s v="[{&quot;name&quot;:&quot;BM Sensor NG_Nazar Bagus H..jpg&quot;,&quot;link&quot;:&quot;https://epsongroup-my.sharepoint.com/personal/brian_ramdhani_epson_co_id/Documents/Apps/Microsoft%20Forms/TAKATSU%20ANALYZE%20REPORT/Question/BM%20Sensor%20NG_Nazar%20Bagus%20H..jpg&quot;,&quot;id&quot;:&quot;01D6UVHSNHRGALSP6LOVEYVU5QHZDYIJK7&quot;,&quot;type&quot;:null,&quot;size&quot;:23084,&quot;referenceId&quot;:&quot;01D6UVHSOX5DG5RX522VGYFCV365U3UBU3&quot;,&quot;driveId&quot;:&quot;b!7qg8FsnQY0iiT36_x6Novv_3J9v4MtxPsytkCbb-ZPz3ScQFcxKeSqI2jw7AAtnZ&quot;,&quot;status&quot;:1,&quot;uploadSessionUrl&quot;:null}]"/>
    <m/>
    <s v="clzaFA_PfE2SY7_fYKmoGcgAP9Jw"/>
    <m/>
    <m/>
    <m/>
    <m/>
    <m/>
    <m/>
    <m/>
    <m/>
    <m/>
    <m/>
    <m/>
    <m/>
    <m/>
    <s v="BM Sensor NG"/>
    <m/>
    <m/>
    <s v="Change Platen Unit OK (5x Feed), Try NG Platen Unit to other Mecha (On Progress)"/>
    <s v="Nazar Bagus H."/>
  </r>
  <r>
    <s v="AR250210114932"/>
    <m/>
    <x v="39"/>
    <m/>
    <s v="Takatsu-4 Autocutter"/>
    <m/>
    <m/>
    <s v="TKSAL-009"/>
    <s v="DMAV"/>
    <x v="8"/>
    <s v="High"/>
    <s v="Operator"/>
    <s v="PRINTING "/>
    <m/>
    <m/>
    <m/>
    <s v="Jig 06"/>
    <s v="Found DMAV During initial Charge"/>
    <s v="[{&quot;name&quot;:&quot;False Reject_Nazar Bagus H. 5.PNG&quot;,&quot;link&quot;:&quot;https://epsongroup-my.sharepoint.com/personal/brian_ramdhani_epson_co_id/Documents/Apps/Microsoft%20Forms/TAKATSU%20ANALYZE%20REPORT/Question/False%20Reject_Nazar%20Bagus%20H.%205.PNG&quot;,&quot;id&quot;:&quot;01D6UVHSPJZE6XO4XQKJAZ5XMHSYI6NMJX&quot;,&quot;type&quot;:null,&quot;size&quot;:1313,&quot;referenceId&quot;:&quot;01D6UVHSOX5DG5RX522VGYFCV365U3UBU3&quot;,&quot;driveId&quot;:&quot;b!7qg8FsnQY0iiT36_x6Novv_3J9v4MtxPsytkCbb-ZPz3ScQFcxKeSqI2jw7AAtnZ&quot;,&quot;status&quot;:1,&quot;uploadSessionUrl&quot;:null}]"/>
    <m/>
    <s v="2-ErmOiULUixwKLf0DYKYsgAI_qu"/>
    <m/>
    <m/>
    <m/>
    <m/>
    <m/>
    <m/>
    <m/>
    <m/>
    <m/>
    <m/>
    <m/>
    <m/>
    <m/>
    <s v="F/M"/>
    <m/>
    <m/>
    <s v="Wiping PH in Repair OK"/>
    <s v="Nazar Bagus H."/>
  </r>
  <r>
    <s v="AR250211025140"/>
    <s v="RP250211072641"/>
    <x v="40"/>
    <d v="2025-02-11T00:00:00"/>
    <s v="Takatsu-4 Peeler"/>
    <m/>
    <m/>
    <s v="TKSAL-022"/>
    <s v="Printing Noise"/>
    <x v="19"/>
    <s v="Low"/>
    <s v="Operator"/>
    <s v="PRINTING"/>
    <s v="During Printing Inspection"/>
    <m/>
    <m/>
    <s v="Noise saat louding kertas"/>
    <s v="Heard Noise during Printing Using Peeler Unit"/>
    <m/>
    <m/>
    <s v="LSuhWlTi06YDMF4oGaJgcgADkFR"/>
    <m/>
    <m/>
    <m/>
    <m/>
    <m/>
    <m/>
    <m/>
    <m/>
    <m/>
    <m/>
    <m/>
    <m/>
    <m/>
    <s v="Still Analyze"/>
    <m/>
    <m/>
    <s v="Change Spring Plate Peeler"/>
    <s v="Nazar Bagus H."/>
  </r>
  <r>
    <s v="AR250211095047"/>
    <m/>
    <x v="40"/>
    <m/>
    <s v="Takatsu-4 Autocutter"/>
    <m/>
    <m/>
    <s v="TKSAL-022"/>
    <s v="Printing Noise"/>
    <x v="19"/>
    <s v="Low"/>
    <s v="Operator"/>
    <s v="PRINTING "/>
    <m/>
    <m/>
    <m/>
    <s v="Jig 05 saat proses miss piping"/>
    <s v="During miss piping check in Printing Stage, found noise [cit cit] in Maintenance Unit area "/>
    <s v="[{&quot;name&quot;:&quot;MNU Noise_Zainul Muttaqin.jpg&quot;,&quot;link&quot;:&quot;https://epsongroup-my.sharepoint.com/personal/brian_ramdhani_epson_co_id/Documents/Apps/Microsoft%20Forms/TAKATSU%20ANALYZE%20REPORT/Question/MNU%20Noise_Zainul%20Muttaqin.jpg&quot;,&quot;id&quot;:&quot;01D6UVHSLNRJZP3CGDOBDZA2SZU3EPXVCC&quot;,&quot;type&quot;:null,&quot;size&quot;:151366,&quot;referenceId&quot;:&quot;01D6UVHSOX5DG5RX522VGYFCV365U3UBU3&quot;,&quot;driveId&quot;:&quot;b!7qg8FsnQY0iiT36_x6Novv_3J9v4MtxPsytkCbb-ZPz3ScQFcxKeSqI2jw7AAtnZ&quot;,&quot;status&quot;:1,&quot;uploadSessionUrl&quot;:null}]"/>
    <m/>
    <s v="N4ZDZHAv40WNg-k92rDQHcgAIWUz"/>
    <m/>
    <m/>
    <m/>
    <m/>
    <m/>
    <m/>
    <m/>
    <m/>
    <m/>
    <m/>
    <m/>
    <m/>
    <m/>
    <s v="Still analyze MNU"/>
    <m/>
    <m/>
    <s v="Change MNU become OK, and still analyze MNU"/>
    <s v="Zainul Muttaqin"/>
  </r>
  <r>
    <s v="AR250211095222"/>
    <m/>
    <x v="40"/>
    <m/>
    <s v="Takatsu-4 Autocutter"/>
    <m/>
    <m/>
    <s v="TKSAL-005"/>
    <s v="Abnormal Power On"/>
    <x v="12"/>
    <s v="High"/>
    <s v="Operator"/>
    <s v="INTERNAL"/>
    <m/>
    <m/>
    <m/>
    <s v="Saat proses initial setting"/>
    <s v="During initial setting with kenpuro program in Internal Stage, found initial setting NG [Time Out Error]"/>
    <s v="[{&quot;name&quot;:&quot;Time Out Error_Zainul Muttaqin.jpg&quot;,&quot;link&quot;:&quot;https://epsongroup-my.sharepoint.com/personal/brian_ramdhani_epson_co_id/Documents/Apps/Microsoft%20Forms/TAKATSU%20ANALYZE%20REPORT/Question/Time%20Out%20Error_Zainul%20Muttaqin.jpg&quot;,&quot;id&quot;:&quot;01D6UVHSKO6PCVI3ZJPRGJMGNHBFLPMCMG&quot;,&quot;type&quot;:null,&quot;size&quot;:93203,&quot;referenceId&quot;:&quot;01D6UVHSOX5DG5RX522VGYFCV365U3UBU3&quot;,&quot;driveId&quot;:&quot;b!7qg8FsnQY0iiT36_x6Novv_3J9v4MtxPsytkCbb-ZPz3ScQFcxKeSqI2jw7AAtnZ&quot;,&quot;status&quot;:1,&quot;uploadSessionUrl&quot;:null}]"/>
    <m/>
    <s v="Dij_vK-1JkCKvGNmA4pQv8gAPg8Y"/>
    <m/>
    <m/>
    <m/>
    <m/>
    <m/>
    <m/>
    <m/>
    <m/>
    <m/>
    <m/>
    <m/>
    <m/>
    <m/>
    <s v="Dowels lever sensor PGU not full insert to frame"/>
    <m/>
    <m/>
    <s v="Reminding and retraining OPR Stage SA PGU Unit, must be follow checkpoint after assy Lever Sensor PGU Unit."/>
    <s v="Zainul Muttaqin"/>
  </r>
  <r>
    <s v="AR250211103617"/>
    <s v="RP250211064453"/>
    <x v="40"/>
    <d v="2025-02-11T00:00:00"/>
    <s v="Takatsu-4 Autocutter"/>
    <m/>
    <m/>
    <s v="TKSAL-010"/>
    <s v="DO"/>
    <x v="2"/>
    <s v="High"/>
    <s v="Operator"/>
    <s v="PRINTING"/>
    <s v="During Check Result Printing"/>
    <m/>
    <m/>
    <s v="Jig 07"/>
    <s v="When the printer was inspection with menu nozzle check, found the results was DO"/>
    <s v="[{&quot;name&quot;:&quot;Dot Omission_Zainul Muttaqin.jpg&quot;,&quot;link&quot;:&quot;https://epsongroup-my.sharepoint.com/personal/brian_ramdhani_epson_co_id/Documents/Apps/Microsoft%20Forms/TAKATSU%20ANALYZE%20REPORT/Question/Dot%20Omission_Zainul%20Muttaqin.jpg&quot;,&quot;id&quot;:&quot;01D6UVHSK4NY2FZGSPBJG3JW7LTAYPF5N4&quot;,&quot;type&quot;:null,&quot;size&quot;:130651,&quot;referenceId&quot;:&quot;01D6UVHSOX5DG5RX522VGYFCV365U3UBU3&quot;,&quot;driveId&quot;:&quot;b!7qg8FsnQY0iiT36_x6Novv_3J9v4MtxPsytkCbb-ZPz3ScQFcxKeSqI2jw7AAtnZ&quot;,&quot;status&quot;:1,&quot;uploadSessionUrl&quot;:null}]"/>
    <m/>
    <s v="sXHrEUQFOkOXWFrv3Kyaw8gAMDg8"/>
    <m/>
    <m/>
    <m/>
    <m/>
    <m/>
    <m/>
    <m/>
    <m/>
    <m/>
    <m/>
    <m/>
    <m/>
    <m/>
    <s v="Possibility any Foreign Material on PH"/>
    <m/>
    <m/>
    <s v="Wiping PH in repair become OK"/>
    <s v="Zainul Muttaqin"/>
  </r>
  <r>
    <s v="ARTESTTESTTEST1"/>
    <s v="RP250217052946"/>
    <x v="40"/>
    <d v="2025-02-17T00:00:00"/>
    <s v="Takatsu-4 Autocutter"/>
    <m/>
    <m/>
    <s v="TKSAL-006"/>
    <s v="CR Measurement NG"/>
    <x v="29"/>
    <s v="High"/>
    <s v="Operator"/>
    <n v="0"/>
    <s v="Test Function Form"/>
    <m/>
    <m/>
    <m/>
    <s v="Test Function Form"/>
    <s v="[{&quot;name&quot;:&quot;Sample_Brian Ramdhani 1.png&quot;,&quot;link&quot;:&quot;https://epsongroup-my.sharepoint.com/personal/brian_ramdhani_epson_co_id/Documents/Apps/Microsoft%20Forms/TAKATSU%20ANALYZE%20REPORT/Question/Sample_Brian%20Ramdhani%201.png&quot;,&quot;id&quot;:&quot;01D6UVHSNTGWNVZF2KYJGZIF5PJ4H3CPZT&quot;,&quot;type&quot;:null,&quot;size&quot;:117963,&quot;referenceId&quot;:&quot;01D6UVHSOX5DG5RX522VGYFCV365U3UBU3&quot;,&quot;driveId&quot;:&quot;b!7qg8FsnQY0iiT36_x6Novv_3J9v4MtxPsytkCbb-ZPz3ScQFcxKeSqI2jw7AAtnZ&quot;,&quot;status&quot;:1,&quot;uploadSessionUrl&quot;:null}]"/>
    <m/>
    <s v="xxxxxxx"/>
    <m/>
    <m/>
    <m/>
    <m/>
    <m/>
    <m/>
    <s v="There is 4M Change in [&quot;Machine/Jig/Tools&quot;,&quot;Methode&quot;]That effectTest Function Form"/>
    <m/>
    <m/>
    <m/>
    <m/>
    <m/>
    <s v="1. Test Function Form_x000a_2. Test Function Form_x000a_3. Test Function Form_x000a_4. Test Function Form_x000a_5. Test Function Form"/>
    <s v="Test Function Form"/>
    <m/>
    <m/>
    <s v="Test Function Form"/>
    <s v="Brian Ramdhani"/>
  </r>
  <r>
    <s v="AR250217114822"/>
    <s v="RP250217052720"/>
    <x v="41"/>
    <d v="2025-02-17T00:00:00"/>
    <s v="Takatsu-8 Autocutter"/>
    <m/>
    <m/>
    <s v="TKSAL-029"/>
    <s v="Abnormal Paper Cover Movement"/>
    <x v="30"/>
    <e v="#N/A"/>
    <s v="Operator"/>
    <s v="MA13-External+Production 3"/>
    <s v="During External Inspection"/>
    <m/>
    <m/>
    <s v="-"/>
    <s v="Found Paper Cover Little bit Stuck During Closing"/>
    <s v="[{&quot;name&quot;:&quot;False Reject_Nazar Bagus H. 6.PNG&quot;,&quot;link&quot;:&quot;https://epsongroup-my.sharepoint.com/personal/brian_ramdhani_epson_co_id/Documents/Apps/Microsoft%20Forms/TAKATSU%20ANALYZE%20REPORT/Question/False%20Reject_Nazar%20Bagus%20H.%206.PNG&quot;,&quot;id&quot;:&quot;01D6UVHSN7GQKV3B2H3RFZPISTMTFK7UAW&quot;,&quot;type&quot;:null,&quot;size&quot;:1313,&quot;referenceId&quot;:&quot;01D6UVHSOX5DG5RX522VGYFCV365U3UBU3&quot;,&quot;driveId&quot;:&quot;b!7qg8FsnQY0iiT36_x6Novv_3J9v4MtxPsytkCbb-ZPz3ScQFcxKeSqI2jw7AAtnZ&quot;,&quot;status&quot;:1,&quot;uploadSessionUrl&quot;:null}]"/>
    <m/>
    <s v="WMbwP-Wct0SSLLmFoJGdsMgALkBO"/>
    <m/>
    <m/>
    <m/>
    <m/>
    <m/>
    <m/>
    <m/>
    <m/>
    <m/>
    <m/>
    <m/>
    <m/>
    <m/>
    <s v="Cover on Product not properly match with mechanism"/>
    <m/>
    <m/>
    <s v="Re-assembly all Cover, Product become OK"/>
    <s v="Nazar Bagus H."/>
  </r>
  <r>
    <s v="AR250217054245"/>
    <s v="RP250219060835"/>
    <x v="41"/>
    <d v="2025-02-19T00:00:00"/>
    <s v="Takatsu-8 Autocutter"/>
    <m/>
    <m/>
    <s v="TKSAL-008"/>
    <s v="DMAH"/>
    <x v="3"/>
    <s v="High"/>
    <s v="Operator"/>
    <s v="MA10-Printing"/>
    <s v="During Printing Inspection"/>
    <m/>
    <m/>
    <s v="Jig 06"/>
    <s v="During Initial Charge, Found DMAH"/>
    <s v="[{&quot;name&quot;:&quot;DMAH 19 Feb_Nazar Bagus H..jpg&quot;,&quot;link&quot;:&quot;https://epsongroup-my.sharepoint.com/personal/brian_ramdhani_epson_co_id/Documents/Apps/Microsoft%20Forms/TAKATSU%20ANALYZE%20REPORT/Question/DMAH%2019%20Feb_Nazar%20Bagus%20H..jpg&quot;,&quot;id&quot;:&quot;01D6UVHSNYDYLS2LTHXNAKC2URMYQNAZOY&quot;,&quot;type&quot;:null,&quot;size&quot;:53749,&quot;referenceId&quot;:&quot;01D6UVHSOX5DG5RX522VGYFCV365U3UBU3&quot;,&quot;driveId&quot;:&quot;b!7qg8FsnQY0iiT36_x6Novv_3J9v4MtxPsytkCbb-ZPz3ScQFcxKeSqI2jw7AAtnZ&quot;,&quot;status&quot;:1,&quot;uploadSessionUrl&quot;:null}]"/>
    <m/>
    <s v="CQg1BJajRUyBtIiXbDqWhsgAKWhE"/>
    <m/>
    <m/>
    <m/>
    <m/>
    <m/>
    <m/>
    <s v="Man :_x000a_Methode :_x000a_Materials :_x000a_Machine/Jig :"/>
    <m/>
    <m/>
    <m/>
    <m/>
    <m/>
    <s v="1. _x000a_2. _x000a_3. _x000a_4. _x000a_5. "/>
    <s v="Any Foreign Material around Block G3 no150"/>
    <m/>
    <m/>
    <s v="Change PH, and Keep PH NG"/>
    <s v="Nazar Bagus H."/>
  </r>
  <r>
    <s v="AR250218081943"/>
    <s v="RP250218094552"/>
    <x v="42"/>
    <d v="2025-02-18T00:00:00"/>
    <s v="Takatsu-8 Autocutter"/>
    <m/>
    <m/>
    <s v="TKSAL-002"/>
    <s v="Abnormal Noise"/>
    <x v="7"/>
    <e v="#N/A"/>
    <s v="Operator"/>
    <s v="MA09-PG Adjustment [Setting 1]"/>
    <s v="During MNU Measurement"/>
    <m/>
    <m/>
    <s v="Noise"/>
    <s v="During the product was inpect with menu MNU Measurement in PG Stage, found MNU noise"/>
    <s v="[{&quot;name&quot;:&quot;IMG-20250218-WA0002_Zainul Muttaqin.jpg&quot;,&quot;link&quot;:&quot;https://epsongroup-my.sharepoint.com/personal/brian_ramdhani_epson_co_id/Documents/Apps/Microsoft%20Forms/TAKATSU%20ANALYZE%20REPORT/Question/IMG-20250218-WA0002_Zainul%20Muttaqin.jpg&quot;,&quot;id&quot;:&quot;01D6UVHSMFXABD55HTNVBKKERU7VRNAFK2&quot;,&quot;type&quot;:null,&quot;size&quot;:730728,&quot;referenceId&quot;:&quot;01D6UVHSOX5DG5RX522VGYFCV365U3UBU3&quot;,&quot;driveId&quot;:&quot;b!7qg8FsnQY0iiT36_x6Novv_3J9v4MtxPsytkCbb-ZPz3ScQFcxKeSqI2jw7AAtnZ&quot;,&quot;status&quot;:1,&quot;uploadSessionUrl&quot;:null}]"/>
    <m/>
    <s v="HchtiuBs80-W3SsvFaHqFMgAOYzX"/>
    <m/>
    <m/>
    <m/>
    <m/>
    <m/>
    <m/>
    <s v="Man :_x000a_Methode :_x000a_Materials :_x000a_Machine/Jig :"/>
    <m/>
    <m/>
    <m/>
    <m/>
    <m/>
    <s v="1. MNU Measurement noise_x000a_2. Tube touch to gear MNU_x000a_3. Operators pay less attention to checkpoint SWP_x000a_4. _x000a_5. "/>
    <s v="Tube touch to Gear MNU"/>
    <m/>
    <m/>
    <s v="Reminding OPR SA MNU in 2nd Floor, so that follow check point on SWP during assembly tube."/>
    <s v="Zainul Muttaqin"/>
  </r>
  <r>
    <s v="AR250218110821"/>
    <s v="RP250218045357"/>
    <x v="42"/>
    <d v="2025-02-18T00:00:00"/>
    <s v="Takatsu-8 Peeler"/>
    <m/>
    <m/>
    <s v="TKSAL-002"/>
    <s v="Abnormal Noise"/>
    <x v="20"/>
    <e v="#N/A"/>
    <s v="Operator"/>
    <s v="MA09-PG Adjustment [Setting 1]"/>
    <s v="During Platen Fan Adjustment"/>
    <m/>
    <m/>
    <s v="Platen noise"/>
    <s v="During the product was inspect with menu platen fan adjustment, found noise and vibration appear in Platen Fan area"/>
    <s v="[{&quot;name&quot;:&quot;Abnormal Noise - Platen_Zainul Muttaqin.jpg&quot;,&quot;link&quot;:&quot;https://epsongroup-my.sharepoint.com/personal/brian_ramdhani_epson_co_id/Documents/Apps/Microsoft%20Forms/TAKATSU%20ANALYZE%20REPORT/Question/Abnormal%20Noise%20-%20Platen_Zainul%20Muttaqin.jpg&quot;,&quot;id&quot;:&quot;01D6UVHSOT5NHFDURW7NFZR4HWAE3SB4PJ&quot;,&quot;type&quot;:null,&quot;size&quot;:104836,&quot;referenceId&quot;:&quot;01D6UVHSOX5DG5RX522VGYFCV365U3UBU3&quot;,&quot;driveId&quot;:&quot;b!7qg8FsnQY0iiT36_x6Novv_3J9v4MtxPsytkCbb-ZPz3ScQFcxKeSqI2jw7AAtnZ&quot;,&quot;status&quot;:1,&quot;uploadSessionUrl&quot;:null}]"/>
    <m/>
    <s v="eUX-tlVVyUm_ZWPzLK5fCcgABba8"/>
    <m/>
    <m/>
    <m/>
    <m/>
    <m/>
    <m/>
    <s v="Man :_x000a_Methode :_x000a_Materials :_x000a_Machine/Jig :"/>
    <s v="Platen fan adjustment noise"/>
    <s v="Platen fan unbalanced rotation"/>
    <s v="Still analyze"/>
    <m/>
    <m/>
    <s v="1. Platen fan adjustment noise_x000a_2. Platen fan unbalanced rotation_x000a_3. Still analyze_x000a_4. _x000a_5. "/>
    <s v="Platen fan unbalanced rotation [still analyze]"/>
    <m/>
    <m/>
    <s v="Levelling to OPR SA Platen, so that ensure rotation platen fan was balanced before assy to platen unit"/>
    <s v="Zainul Muttaqin"/>
  </r>
  <r>
    <s v="AR250218010508"/>
    <s v="RP250218073324"/>
    <x v="42"/>
    <d v="2025-02-18T00:00:00"/>
    <s v="Takatsu-4 Autocutter"/>
    <m/>
    <m/>
    <s v="TKSAL-016"/>
    <s v="No Power"/>
    <x v="26"/>
    <s v="Low"/>
    <s v="Operator"/>
    <s v="MA08-Internal"/>
    <s v="During initial power ON in Air Leak Stage"/>
    <m/>
    <m/>
    <s v="Saat power on"/>
    <s v="During initial power ON product in Air Leak Stage, found No Power"/>
    <s v="[{&quot;name&quot;:&quot;20250205_172057_Zainul Muttaqin.jpg&quot;,&quot;link&quot;:&quot;https://epsongroup-my.sharepoint.com/personal/brian_ramdhani_epson_co_id/Documents/Apps/Microsoft%20Forms/TAKATSU%20ANALYZE%20REPORT/Question/20250205_172057_Zainul%20Muttaqin.jpg&quot;,&quot;id&quot;:&quot;01D6UVHSLQN7YOWUBMPNCKSBN5BXONTNEL&quot;,&quot;type&quot;:null,&quot;size&quot;:973291,&quot;referenceId&quot;:&quot;01D6UVHSOX5DG5RX522VGYFCV365U3UBU3&quot;,&quot;driveId&quot;:&quot;b!7qg8FsnQY0iiT36_x6Novv_3J9v4MtxPsytkCbb-ZPz3ScQFcxKeSqI2jw7AAtnZ&quot;,&quot;status&quot;:1,&quot;uploadSessionUrl&quot;:null}]"/>
    <m/>
    <s v="eEuYxeZqWUuQw8OV8KQPX8gAAaA1"/>
    <m/>
    <m/>
    <m/>
    <m/>
    <m/>
    <m/>
    <s v="Man :_x000a_Methode :_x000a_Materials :_x000a_Machine/Jig :"/>
    <s v="No power"/>
    <s v="Board Assy Prog NG"/>
    <s v="Still continue analyze"/>
    <m/>
    <m/>
    <s v="1. No power_x000a_2. Board Assy Prog NG_x000a_3. Still continue analyze_x000a_4. _x000a_5. "/>
    <s v="Board Assy Prog NG [Still analyze]"/>
    <m/>
    <m/>
    <s v="Still continue analyze to find rootcause"/>
    <s v="Zainul Muttaqin"/>
  </r>
  <r>
    <s v="AR250218050131"/>
    <s v="RP250220082431"/>
    <x v="42"/>
    <d v="2025-02-20T00:00:00"/>
    <s v="Takatsu-4 Autocutter"/>
    <m/>
    <m/>
    <s v="TKSAL-002"/>
    <s v="Abnormal Noise"/>
    <x v="20"/>
    <e v="#N/A"/>
    <s v="Operator"/>
    <s v="MA09-PG Adjustment [Setting 1]"/>
    <s v="During MNU Measurement"/>
    <m/>
    <m/>
    <s v="NOISE"/>
    <s v="During MNU measurement in PG stage, found MNU noise [cit cit]"/>
    <s v="[{&quot;name&quot;:&quot;MNU Noise cit cit_Zainul Muttaqin.jpg&quot;,&quot;link&quot;:&quot;https://epsongroup-my.sharepoint.com/personal/brian_ramdhani_epson_co_id/Documents/Apps/Microsoft%20Forms/TAKATSU%20ANALYZE%20REPORT/Question/MNU%20Noise%20cit%20cit_Zainul%20Muttaqin.jpg&quot;,&quot;id&quot;:&quot;01D6UVHSJWPNYG5OQ6ZNFL23STQOZUF64Y&quot;,&quot;type&quot;:null,&quot;size&quot;:94655,&quot;referenceId&quot;:&quot;01D6UVHSOX5DG5RX522VGYFCV365U3UBU3&quot;,&quot;driveId&quot;:&quot;b!7qg8FsnQY0iiT36_x6Novv_3J9v4MtxPsytkCbb-ZPz3ScQFcxKeSqI2jw7AAtnZ&quot;,&quot;status&quot;:1,&quot;uploadSessionUrl&quot;:null}]"/>
    <m/>
    <s v="V13pgkOaxEWZkeBMSAOM88gAKBXx"/>
    <m/>
    <m/>
    <m/>
    <m/>
    <m/>
    <m/>
    <s v="Man :_x000a_Methode :_x000a_Materials :_x000a_Machine/Jig :"/>
    <s v="MNU noise [cit cit]"/>
    <s v="Scale touch to BAE"/>
    <s v="BAE slanting"/>
    <s v="Mistake assembly due to Operator"/>
    <m/>
    <s v="1. MNU noise [cit cit]_x000a_2. Scale touch to BAE_x000a_3. BAE slanting_x000a_4. Mistake assembly due to Operator_x000a_5. "/>
    <s v="BAE slanting, assy by operator"/>
    <m/>
    <m/>
    <s v="Retraining and reminding operator, so that full insert during assembly BAE to FRAME IS GEAR"/>
    <s v="Zainul Muttaqin"/>
  </r>
  <r>
    <s v="AR250219065151"/>
    <s v="RP250221021709"/>
    <x v="43"/>
    <d v="2025-02-21T00:00:00"/>
    <s v="Takatsu-8 Autocutter"/>
    <m/>
    <m/>
    <s v="TKSAL-028"/>
    <s v="BI-d Cannot Adjust"/>
    <x v="31"/>
    <s v="High"/>
    <s v="Operator"/>
    <s v="MA10-Printing"/>
    <s v="During Printing Process Bi-d VSD"/>
    <m/>
    <m/>
    <s v="Jig 02"/>
    <s v="When OP Print Bi-d VSD1, 2, 3 find white line "/>
    <s v="[{&quot;name&quot;:&quot;Bi-D NG_Rio Rizki Khanigia.jpg&quot;,&quot;link&quot;:&quot;https://epsongroup-my.sharepoint.com/personal/brian_ramdhani_epson_co_id/Documents/Apps/Microsoft%20Forms/TAKATSU%20ANALYZE%20REPORT/Question/Bi-D%20NG_Rio%20Rizki%20Khanigia.jpg&quot;,&quot;id&quot;:&quot;01D6UVHSLSE2IJL7PKVRF2F36FGBWLQWHO&quot;,&quot;type&quot;:null,&quot;size&quot;:196103,&quot;referenceId&quot;:&quot;01D6UVHSOX5DG5RX522VGYFCV365U3UBU3&quot;,&quot;driveId&quot;:&quot;b!7qg8FsnQY0iiT36_x6Novv_3J9v4MtxPsytkCbb-ZPz3ScQFcxKeSqI2jw7AAtnZ&quot;,&quot;status&quot;:1,&quot;uploadSessionUrl&quot;:null}]"/>
    <m/>
    <s v="_ZLWgtPrpU6p5vrAQ0BlBsgACY4f"/>
    <m/>
    <m/>
    <m/>
    <m/>
    <m/>
    <m/>
    <s v="Man :_x000a_Methode :_x000a_Materials :_x000a_Machine/Jig :"/>
    <m/>
    <m/>
    <m/>
    <m/>
    <m/>
    <s v="1. _x000a_2. _x000a_3. _x000a_4. _x000a_5. "/>
    <s v="PF Belt tension over STD"/>
    <m/>
    <m/>
    <s v="Re-adjust PF Tension and retraining OP refer to SWP."/>
    <s v="Rio Rizki Khanigia"/>
  </r>
  <r>
    <s v="AR250219065722"/>
    <s v="RP250221013701"/>
    <x v="43"/>
    <d v="2025-02-21T00:00:00"/>
    <s v="Takatsu-8 Autocutter"/>
    <m/>
    <m/>
    <e v="#N/A"/>
    <s v="Air Leak Check NG"/>
    <x v="32"/>
    <s v="High"/>
    <s v="Operator"/>
    <s v="MA08-Internal"/>
    <s v="During Air Leak Inspection"/>
    <m/>
    <m/>
    <s v="Saat proses Air leak cek"/>
    <s v="During Air Leak Check, Found Leakage on Color BK"/>
    <s v="[{&quot;name&quot;:&quot;Seal INk SUpply NG_Nazar Bagus H..jpg&quot;,&quot;link&quot;:&quot;https://epsongroup-my.sharepoint.com/personal/brian_ramdhani_epson_co_id/Documents/Apps/Microsoft%20Forms/TAKATSU%20ANALYZE%20REPORT/Question/Seal%20INk%20SUpply%20NG_Nazar%20Bagus%20H..jpg&quot;,&quot;id&quot;:&quot;01D6UVHSJIVSTNOUBYIFCJJOLIMBRCDPKD&quot;,&quot;type&quot;:null,&quot;size&quot;:62709,&quot;referenceId&quot;:&quot;01D6UVHSOX5DG5RX522VGYFCV365U3UBU3&quot;,&quot;driveId&quot;:&quot;b!7qg8FsnQY0iiT36_x6Novv_3J9v4MtxPsytkCbb-ZPz3ScQFcxKeSqI2jw7AAtnZ&quot;,&quot;status&quot;:1,&quot;uploadSessionUrl&quot;:null}]"/>
    <m/>
    <s v="Ds5UZBH4ukmpYylu_CWzA8gAHUo8"/>
    <m/>
    <m/>
    <s v="No Changes"/>
    <s v="Why Machine Sub Assy Cannot Detect?"/>
    <s v="No Changes"/>
    <s v="No Changes"/>
    <s v="Man :No Changes_x000a_Methode :No Changes_x000a_Materials :No Changes_x000a_Machine/Jig :Why Machine Sub Assy Cannot Detect?"/>
    <s v="Air Leak Check NG"/>
    <s v="Any Leakage on Mechanism"/>
    <s v="Leakage on Supply Unit"/>
    <s v="Seal Tube Unpost"/>
    <s v="Assembly Problem"/>
    <s v="1. Air Leak Check NG_x000a_2. Any Leakage on Mechanism_x000a_3. Leakage on Supply Unit_x000a_4. Seal Tube Unpost_x000a_5. Assembly Problem"/>
    <s v="Seal Tube on SUpply Unit Color BK Unpost"/>
    <m/>
    <m/>
    <s v="Change Supply OK, Keep NG Supply Unit to continue deep analyze why Sub Assy 2nd Floor cannot detect"/>
    <s v="Nazar Bagus H."/>
  </r>
  <r>
    <s v="AR250224111140"/>
    <s v="RP250224013837"/>
    <x v="44"/>
    <d v="2025-02-24T00:00:00"/>
    <s v="Takatsu-8 Autocutter"/>
    <m/>
    <m/>
    <s v="TKSAL-003"/>
    <s v="Abnormal Paper Loading"/>
    <x v="33"/>
    <e v="#N/A"/>
    <s v="Operator"/>
    <s v="MA10-Printing"/>
    <s v="During Printing Inspection"/>
    <m/>
    <m/>
    <s v="Saat proses print"/>
    <s v="During Initial Paper Loading, Found Paper Stuck into Plate Platen"/>
    <s v="[{&quot;name&quot;:&quot;Paper Jam_Nazar Bagus H..jpg&quot;,&quot;link&quot;:&quot;https://epsongroup-my.sharepoint.com/personal/brian_ramdhani_epson_co_id/Documents/Apps/Microsoft%20Forms/TAKATSU%20ANALYZE%20REPORT/Question/Paper%20Jam_Nazar%20Bagus%20H..jpg&quot;,&quot;id&quot;:&quot;01D6UVHSOU56NAGP7EORG3NFKTWQQJDGQB&quot;,&quot;type&quot;:null,&quot;size&quot;:86663,&quot;referenceId&quot;:&quot;01D6UVHSOX5DG5RX522VGYFCV365U3UBU3&quot;,&quot;driveId&quot;:&quot;b!7qg8FsnQY0iiT36_x6Novv_3J9v4MtxPsytkCbb-ZPz3ScQFcxKeSqI2jw7AAtnZ&quot;,&quot;status&quot;:1,&quot;uploadSessionUrl&quot;:null}]"/>
    <m/>
    <s v="1UePiX6kKkeKtVUJKRhPFsgAP3cF"/>
    <m/>
    <m/>
    <s v="Plate Platen Bending"/>
    <s v="Need to Improve Plate Platen Bending Checker"/>
    <s v="No Changes"/>
    <s v="No Changes"/>
    <s v="Man :No Changes_x000a_Methode :No Changes_x000a_Materials :Plate Platen Bending_x000a_Machine/Jig :Need to Improve Plate Platen Bending Checker"/>
    <s v="Paper Jam"/>
    <s v="Paper Stuck into Plate Platen"/>
    <s v="Plate Platen Bending"/>
    <s v="Part Problem"/>
    <m/>
    <s v="1. Paper Jam_x000a_2. Paper Stuck into Plate Platen_x000a_3. Plate Platen Bending_x000a_4. Part Problem_x000a_5. "/>
    <s v="Plate Platen Bending"/>
    <m/>
    <m/>
    <s v="Change Plate Platen in Line, Propose to upgrade Plate Platen Checker on Main Assy"/>
    <s v="Nazar Bagus H."/>
  </r>
  <r>
    <s v="AR250224010409"/>
    <s v="RP250224015114"/>
    <x v="44"/>
    <d v="2025-02-24T00:00:00"/>
    <s v="Takatsu-8 Autocutter"/>
    <m/>
    <m/>
    <s v="TKSAL-003"/>
    <s v="Abnormal Paper Loading"/>
    <x v="10"/>
    <e v="#N/A"/>
    <s v="Operator"/>
    <s v="MA09-PG Adjustment [Setting 1]"/>
    <s v="During label calibration check"/>
    <m/>
    <m/>
    <s v="Saat proses label sensor celebration"/>
    <s v="During label calibration check, panel shown [The paper is not loaded correctly]"/>
    <s v="[{&quot;name&quot;:&quot;Abnormal Paper Loading_Zainul Muttaqin.jpg&quot;,&quot;link&quot;:&quot;https://epsongroup-my.sharepoint.com/personal/brian_ramdhani_epson_co_id/Documents/Apps/Microsoft%20Forms/TAKATSU%20ANALYZE%20REPORT/Question/Abnormal%20Paper%20Loading_Zainul%20Muttaqin.jpg&quot;,&quot;id&quot;:&quot;01D6UVHSJAKA6IZQ4BMNFY3C6ZROU4XYKW&quot;,&quot;type&quot;:null,&quot;size&quot;:223404,&quot;referenceId&quot;:&quot;01D6UVHSOX5DG5RX522VGYFCV365U3UBU3&quot;,&quot;driveId&quot;:&quot;b!7qg8FsnQY0iiT36_x6Novv_3J9v4MtxPsytkCbb-ZPz3ScQFcxKeSqI2jw7AAtnZ&quot;,&quot;status&quot;:1,&quot;uploadSessionUrl&quot;:null}]"/>
    <m/>
    <s v="VH4EoYTT8EK41xvfoU6hksgANGQo"/>
    <m/>
    <m/>
    <m/>
    <m/>
    <m/>
    <m/>
    <s v="Man :_x000a_Methode :_x000a_Materials :_x000a_Machine/Jig :"/>
    <s v="Abnormal Paper Loading"/>
    <s v="Platen Unit NG"/>
    <s v="BM Sensor NG"/>
    <s v="Still analyze"/>
    <m/>
    <s v="1. Abnormal Paper Loading_x000a_2. Platen Unit NG_x000a_3. BM Sensor NG_x000a_4. Still analyze_x000a_5. "/>
    <s v="BM Sensor NG [Still analyze]"/>
    <m/>
    <m/>
    <s v="Change BM Sensor in Platen Unit [Still analyze]"/>
    <s v="Zainul Muttaqin"/>
  </r>
  <r>
    <s v="AR250224024307"/>
    <s v="RP250224040359"/>
    <x v="44"/>
    <d v="2025-02-24T00:00:00"/>
    <s v="Takatsu-8 Autocutter"/>
    <m/>
    <m/>
    <s v="TKSAL-005"/>
    <s v="Abnormal Power On"/>
    <x v="5"/>
    <s v="High"/>
    <s v="Operator"/>
    <s v="MA09-PG Adjustment [Setting 1]"/>
    <s v="During PG Inspection"/>
    <m/>
    <m/>
    <s v="Saat power on"/>
    <s v="When Power On, Found Abnormal Carriage Movement then Appear Paper Jam"/>
    <s v="[{&quot;name&quot;:&quot;FFC BAE Carriage Peeled Off_Nazar Bagus H..jpg&quot;,&quot;link&quot;:&quot;https://epsongroup-my.sharepoint.com/personal/brian_ramdhani_epson_co_id/Documents/Apps/Microsoft%20Forms/TAKATSU%20ANALYZE%20REPORT/Question/FFC%20BAE%20Carriage%20Peeled%20Off_Nazar%20Bagus%20H..jpg&quot;,&quot;id&quot;:&quot;01D6UVHSK2BBJDRLROOBDJI3NVE5IMDTMS&quot;,&quot;type&quot;:null,&quot;size&quot;:59031,&quot;referenceId&quot;:&quot;01D6UVHSOX5DG5RX522VGYFCV365U3UBU3&quot;,&quot;driveId&quot;:&quot;b!7qg8FsnQY0iiT36_x6Novv_3J9v4MtxPsytkCbb-ZPz3ScQFcxKeSqI2jw7AAtnZ&quot;,&quot;status&quot;:1,&quot;uploadSessionUrl&quot;:null}]"/>
    <m/>
    <s v="5S0TpEHUi06qZPU_N7sBbsgAIGHs"/>
    <m/>
    <m/>
    <m/>
    <m/>
    <s v="Possibility Peeled Off by Operator"/>
    <m/>
    <s v="Man :Possibility Peeled Off by Operator_x000a_Methode :_x000a_Materials :_x000a_Machine/Jig :"/>
    <s v="Abnormal Power ON"/>
    <s v="Paper Jam Detected During Initial Power On"/>
    <s v="Abnormal Carriage Movement"/>
    <s v="Carriage Communication Error During Initial Power ON"/>
    <s v="FFC BAE Scale Carriage Peeled Off"/>
    <s v="1. Abnormal Power ON_x000a_2. Paper Jam Detected During Initial Power On_x000a_3. Abnormal Carriage Movement_x000a_4. Carriage Communication Error During Initial Power ON_x000a_5. FFC BAE Scale Carriage Peeled Off"/>
    <s v="FFC BAE Scale Carriage Peeled Off"/>
    <m/>
    <m/>
    <s v="Change FFC, then retrain Operator to ensure FFC BAE Scale not peeled off"/>
    <s v="Nazar Bagus H."/>
  </r>
  <r>
    <s v="AR250225111722"/>
    <s v="RP250225014047"/>
    <x v="45"/>
    <d v="2025-02-25T00:00:00"/>
    <s v="Takatsu-4 Autocutter"/>
    <m/>
    <m/>
    <e v="#N/A"/>
    <s v="False Reject"/>
    <x v="34"/>
    <s v="High"/>
    <s v="Operator"/>
    <s v="MA09-PG Adjustment [Setting 1]"/>
    <s v="During PG Inspection"/>
    <m/>
    <m/>
    <s v="Saat proses cr measurment"/>
    <s v="CABLE HEAD Slight Upward during CR Movement"/>
    <s v="[{&quot;name&quot;:&quot;False Reject_Nazar Bagus H. 7.PNG&quot;,&quot;link&quot;:&quot;https://epsongroup-my.sharepoint.com/personal/brian_ramdhani_epson_co_id/Documents/Apps/Microsoft%20Forms/TAKATSU%20ANALYZE%20REPORT/Question/False%20Reject_Nazar%20Bagus%20H.%207.PNG&quot;,&quot;id&quot;:&quot;01D6UVHSLTOSEUH7M5MRD3QZRRZKMP4EID&quot;,&quot;type&quot;:null,&quot;size&quot;:1313,&quot;referenceId&quot;:&quot;01D6UVHSOX5DG5RX522VGYFCV365U3UBU3&quot;,&quot;driveId&quot;:&quot;b!7qg8FsnQY0iiT36_x6Novv_3J9v4MtxPsytkCbb-ZPz3ScQFcxKeSqI2jw7AAtnZ&quot;,&quot;status&quot;:1,&quot;uploadSessionUrl&quot;:null}]"/>
    <m/>
    <s v="6v8fDDt6c06FfUyhluwIAMgAIYPa"/>
    <m/>
    <m/>
    <m/>
    <m/>
    <m/>
    <m/>
    <s v="Man :_x000a_Methode :_x000a_Materials :_x000a_Machine/Jig :"/>
    <m/>
    <m/>
    <m/>
    <m/>
    <m/>
    <s v="1. _x000a_2. _x000a_3. _x000a_4. _x000a_5. "/>
    <s v="Not NG"/>
    <m/>
    <m/>
    <s v="OK, no any Action Item"/>
    <s v="Nazar Bagus H."/>
  </r>
  <r>
    <s v="AR250226084834"/>
    <s v="RP250303053530"/>
    <x v="46"/>
    <d v="2025-03-03T00:00:00"/>
    <s v="Takatsu-4 Autocutter"/>
    <m/>
    <m/>
    <s v="TKSAL-028"/>
    <s v="d Cannot Adjust"/>
    <x v="35"/>
    <s v="High"/>
    <s v="Operator"/>
    <s v="MA10-Printing"/>
    <s v="During Printing Inspection"/>
    <m/>
    <m/>
    <s v="Bid ng"/>
    <s v="During Printing Bi-D, Found Slight Line on Bi-D VS Result"/>
    <s v="[{&quot;name&quot;:&quot;BID VSD3 NG_Nazar Bagus H..jpg&quot;,&quot;link&quot;:&quot;https://epsongroup-my.sharepoint.com/personal/brian_ramdhani_epson_co_id/Documents/Apps/Microsoft%20Forms/TAKATSU%20ANALYZE%20REPORT/Question/BID%20VSD3%20NG_Nazar%20Bagus%20H..jpg&quot;,&quot;id&quot;:&quot;01D6UVHSPRBMF3BB7XJZF3S3FDEOGVYBKB&quot;,&quot;type&quot;:null,&quot;size&quot;:527655,&quot;referenceId&quot;:&quot;01D6UVHSOX5DG5RX522VGYFCV365U3UBU3&quot;,&quot;driveId&quot;:&quot;b!7qg8FsnQY0iiT36_x6Novv_3J9v4MtxPsytkCbb-ZPz3ScQFcxKeSqI2jw7AAtnZ&quot;,&quot;status&quot;:1,&quot;uploadSessionUrl&quot;:null}]"/>
    <m/>
    <s v="HYf1WF9i402dContEIbKr8gAKS_H"/>
    <m/>
    <m/>
    <m/>
    <m/>
    <m/>
    <m/>
    <s v="Man :_x000a_Methode :_x000a_Materials :_x000a_Machine/Jig :"/>
    <m/>
    <m/>
    <m/>
    <m/>
    <m/>
    <s v="1. _x000a_2. _x000a_3. _x000a_4. _x000a_5. "/>
    <s v="Still analyze"/>
    <m/>
    <m/>
    <s v="Need to Continue Deep Analyze on Print Head"/>
    <s v="Nazar Bagus H."/>
  </r>
  <r>
    <s v="AR250227093429"/>
    <s v="RP250228090751"/>
    <x v="47"/>
    <d v="2025-02-28T00:00:00"/>
    <s v="Takatsu-8 Autocutter"/>
    <m/>
    <m/>
    <s v="TKSFE-004"/>
    <s v="Fatal Error 005839"/>
    <x v="36"/>
    <s v="High"/>
    <s v="Operator"/>
    <s v="MA09-PG Adjustment [Setting 1]"/>
    <s v="During label calibration check"/>
    <m/>
    <m/>
    <s v="Saat proses power on"/>
    <s v="During label calibration check in PG Stage, found Fatal Error 005839 [Platen Shutter Lock Error]"/>
    <s v="[{&quot;name&quot;:&quot;FE 005839_Zainul Muttaqin.jpg&quot;,&quot;link&quot;:&quot;https://epsongroup-my.sharepoint.com/personal/brian_ramdhani_epson_co_id/Documents/Apps/Microsoft%20Forms/TAKATSU%20ANALYZE%20REPORT/Question/FE%20005839_Zainul%20Muttaqin.jpg&quot;,&quot;id&quot;:&quot;01D6UVHSJKXIIM5NBVLNCZZYFLEVGISH2Z&quot;,&quot;type&quot;:null,&quot;size&quot;:3259,&quot;referenceId&quot;:&quot;01D6UVHSOX5DG5RX522VGYFCV365U3UBU3&quot;,&quot;driveId&quot;:&quot;b!7qg8FsnQY0iiT36_x6Novv_3J9v4MtxPsytkCbb-ZPz3ScQFcxKeSqI2jw7AAtnZ&quot;,&quot;status&quot;:1,&quot;uploadSessionUrl&quot;:null}]"/>
    <m/>
    <s v="gD7fn86SL0uNodV5d32Oi8gABhY8"/>
    <m/>
    <m/>
    <m/>
    <m/>
    <m/>
    <m/>
    <s v="Man :_x000a_Methode :_x000a_Materials :_x000a_Machine/Jig :"/>
    <s v="FE 005839"/>
    <s v="Platen Unit NG"/>
    <s v="Suspect Motor Assy NG [Still analyze]"/>
    <m/>
    <m/>
    <s v="1. FE 005839_x000a_2. Platen Unit NG_x000a_3. Suspect Motor Assy NG [Still analyze]_x000a_4. _x000a_5. "/>
    <s v="Still analyze"/>
    <m/>
    <m/>
    <s v="Trial change motor assy [Still analyze]"/>
    <s v="Zainul Muttaqin"/>
  </r>
  <r>
    <s v="AR250227121702"/>
    <s v="RP250228080709"/>
    <x v="47"/>
    <d v="2025-02-28T00:00:00"/>
    <s v="Takatsu-8 Autocutter"/>
    <m/>
    <m/>
    <s v="TKSAL-022"/>
    <s v="Printing Noise"/>
    <x v="19"/>
    <s v="Low"/>
    <s v="Operator"/>
    <s v="MA10-Printing"/>
    <s v="During Printing Inspection"/>
    <m/>
    <m/>
    <s v="Saat proses print Bid"/>
    <s v="Heard Small Noise During Printing"/>
    <s v="[{&quot;name&quot;:&quot;False Reject_Nazar Bagus H. 8.PNG&quot;,&quot;link&quot;:&quot;https://epsongroup-my.sharepoint.com/personal/brian_ramdhani_epson_co_id/Documents/Apps/Microsoft%20Forms/TAKATSU%20ANALYZE%20REPORT/Question/False%20Reject_Nazar%20Bagus%20H.%208.PNG&quot;,&quot;id&quot;:&quot;01D6UVHSJ4F75POJTLDVGL2FT26NF5H2ZB&quot;,&quot;type&quot;:null,&quot;size&quot;:1313,&quot;referenceId&quot;:&quot;01D6UVHSOX5DG5RX522VGYFCV365U3UBU3&quot;,&quot;driveId&quot;:&quot;b!7qg8FsnQY0iiT36_x6Novv_3J9v4MtxPsytkCbb-ZPz3ScQFcxKeSqI2jw7AAtnZ&quot;,&quot;status&quot;:1,&quot;uploadSessionUrl&quot;:null}]"/>
    <m/>
    <s v="tx8lOf42E0qPfvvVv4xYDcgAJS_z"/>
    <m/>
    <m/>
    <m/>
    <m/>
    <m/>
    <m/>
    <s v="Man :_x000a_Methode :_x000a_Materials :_x000a_Machine/Jig :"/>
    <m/>
    <m/>
    <m/>
    <m/>
    <m/>
    <s v="1. _x000a_2. _x000a_3. _x000a_4. _x000a_5. "/>
    <s v="False Reject, Over Judgement"/>
    <m/>
    <m/>
    <s v="Only Check 5x OK"/>
    <s v="Nazar Bagus H."/>
  </r>
  <r>
    <s v="AR250227070758"/>
    <s v="RP250228093823"/>
    <x v="47"/>
    <d v="2025-02-28T00:00:00"/>
    <s v="Takatsu-8 Autocutter"/>
    <m/>
    <m/>
    <s v="TKSFE-005"/>
    <s v="Fatal Error 5455"/>
    <x v="37"/>
    <s v="High"/>
    <s v="Operator"/>
    <s v="MA10-Printing"/>
    <s v="During printing check"/>
    <m/>
    <m/>
    <s v="Saat proses head inclined"/>
    <s v="During head incline process in Printing Stage, found Fatal Error 5455 [Auto Cutter Problem]"/>
    <s v="[{&quot;name&quot;:&quot;FE 005455_Zainul Muttaqin.jpg&quot;,&quot;link&quot;:&quot;https://epsongroup-my.sharepoint.com/personal/brian_ramdhani_epson_co_id/Documents/Apps/Microsoft%20Forms/TAKATSU%20ANALYZE%20REPORT/Question/FE%20005455_Zainul%20Muttaqin.jpg&quot;,&quot;id&quot;:&quot;01D6UVHSIKRVEF5VJEDBCZWMU2IOJGK37V&quot;,&quot;type&quot;:null,&quot;size&quot;:171791,&quot;referenceId&quot;:&quot;01D6UVHSOX5DG5RX522VGYFCV365U3UBU3&quot;,&quot;driveId&quot;:&quot;b!7qg8FsnQY0iiT36_x6Novv_3J9v4MtxPsytkCbb-ZPz3ScQFcxKeSqI2jw7AAtnZ&quot;,&quot;status&quot;:1,&quot;uploadSessionUrl&quot;:null}]"/>
    <m/>
    <s v="roRPXr6TEE2K9jXBkUmexMgAJfPy"/>
    <m/>
    <m/>
    <m/>
    <m/>
    <m/>
    <m/>
    <s v="Man :_x000a_Methode :_x000a_Materials :_x000a_Machine/Jig :"/>
    <s v="FE 005455"/>
    <s v="Lead wire roll motor not full insert"/>
    <s v="Operator do not follow checkpoint on SWP"/>
    <m/>
    <m/>
    <s v="1. FE 005455_x000a_2. Lead wire roll motor not full insert_x000a_3. Operator do not follow checkpoint on SWP_x000a_4. _x000a_5. "/>
    <s v="Lead wire roll motor not full insert occured due to assembly defect by Operator"/>
    <m/>
    <m/>
    <s v="Reminding and retraining OPR must be follow all checkpoint on SWP"/>
    <s v="Zainul Muttaqin"/>
  </r>
  <r>
    <s v="AR250303115759"/>
    <s v="RP250303052947"/>
    <x v="48"/>
    <d v="2025-03-03T00:00:00"/>
    <s v="Takatsu-4 Autocutter"/>
    <m/>
    <m/>
    <s v="TKSAL-009"/>
    <s v="DMAV"/>
    <x v="8"/>
    <m/>
    <s v="Operator"/>
    <s v="MA10-Printing"/>
    <s v="During Printing Inspection"/>
    <m/>
    <m/>
    <s v="Jig 08"/>
    <s v="Found DMAV During Initial Print"/>
    <s v="[{&quot;name&quot;:&quot;False Reject_Nazar Bagus H. 10.PNG&quot;,&quot;link&quot;:&quot;https://epsongroup-my.sharepoint.com/personal/brian_ramdhani_epson_co_id/Documents/Apps/Microsoft%20Forms/TAKATSU%20ANALYZE%20REPORT/Question/False%20Reject_Nazar%20Bagus%20H.%2010.PNG&quot;,&quot;id&quot;:&quot;01D6UVHSLGZ6RI4EMHEZDKFTZENUHUQC77&quot;,&quot;type&quot;:null,&quot;size&quot;:1313,&quot;referenceId&quot;:&quot;01D6UVHSOX5DG5RX522VGYFCV365U3UBU3&quot;,&quot;driveId&quot;:&quot;b!7qg8FsnQY0iiT36_x6Novv_3J9v4MtxPsytkCbb-ZPz3ScQFcxKeSqI2jw7AAtnZ&quot;,&quot;status&quot;:1,&quot;uploadSessionUrl&quot;:null}]"/>
    <m/>
    <s v="TV55guUG3EeOyDV1YLMbnMgAPD-k"/>
    <m/>
    <m/>
    <m/>
    <m/>
    <m/>
    <m/>
    <s v="Man :_x000a_Methode :_x000a_Materials :_x000a_Machine/Jig :"/>
    <m/>
    <m/>
    <m/>
    <m/>
    <m/>
    <s v="1. _x000a_2. _x000a_3. _x000a_4. _x000a_5. "/>
    <s v="Not NG"/>
    <m/>
    <m/>
    <s v="After Re-Initial Charge. Product Become OK and not found any abnormality"/>
    <s v="Nazar Bagus H."/>
  </r>
  <r>
    <s v="AR250304081814"/>
    <s v="RP250320084439"/>
    <x v="49"/>
    <d v="2025-03-20T00:00:00"/>
    <s v="Takatsu-4 Peeler"/>
    <m/>
    <m/>
    <s v="TKSAL-002"/>
    <s v="Abnormal Noise"/>
    <x v="20"/>
    <m/>
    <s v="Operator"/>
    <s v="MA10-Printing"/>
    <s v="During Printing Inspection"/>
    <m/>
    <m/>
    <s v="Still analize"/>
    <s v="During Printing Using Peeler Unit, Found Noise"/>
    <s v="[{&quot;name&quot;:&quot;SMALL GAP 2_Nazar Bagus H. 1.png&quot;,&quot;link&quot;:&quot;https://epsongroup-my.sharepoint.com/personal/brian_ramdhani_epson_co_id/Documents/Apps/Microsoft%20Forms/TAKATSU%20ANALYZE%20REPORT/Question/SMALL%20GAP%202_Nazar%20Bagus%20H.%201.png&quot;,&quot;id&quot;:&quot;01D6UVHSKLCR25KLHQWNEKUON4FCQ6O7Y5&quot;,&quot;type&quot;:null,&quot;size&quot;:4747221,&quot;referenceId&quot;:&quot;01D6UVHSOX5DG5RX522VGYFCV365U3UBU3&quot;,&quot;driveId&quot;:&quot;b!7qg8FsnQY0iiT36_x6Novv_3J9v4MtxPsytkCbb-ZPz3ScQFcxKeSqI2jw7AAtnZ&quot;,&quot;status&quot;:1,&quot;uploadSessionUrl&quot;:null}]"/>
    <m/>
    <e v="#NAME?"/>
    <m/>
    <m/>
    <m/>
    <m/>
    <m/>
    <m/>
    <s v="Man :_x000a_Methode :_x000a_Materials :_x000a_Machine/Jig :"/>
    <m/>
    <m/>
    <m/>
    <m/>
    <m/>
    <s v="1. _x000a_2. _x000a_3. _x000a_4. _x000a_5. "/>
    <s v="GAP cannot be detected by feeler gauge"/>
    <m/>
    <m/>
    <s v="Additional Physical Check by Tapping Plate Peeler"/>
    <s v="Nazar Bagus H."/>
  </r>
  <r>
    <s v="AR250304081931"/>
    <s v="RP250304025103"/>
    <x v="49"/>
    <d v="2025-03-04T00:00:00"/>
    <s v="Takatsu-4 Peeler"/>
    <m/>
    <m/>
    <s v="TKSAL-024"/>
    <s v="Shutter Check NG"/>
    <x v="9"/>
    <m/>
    <s v="Operator"/>
    <s v="MA09-PG Adjustment [Setting 1]"/>
    <s v="During PG Inspection"/>
    <m/>
    <m/>
    <s v="Still analize"/>
    <s v="Found Shutter Check NG JIG 2 Hole 1 (&lt;210 Kpa) Only -208 Kpa"/>
    <s v="[{&quot;name&quot;:&quot;Shutter Check NG_Nazar Bagus H..png&quot;,&quot;link&quot;:&quot;https://epsongroup-my.sharepoint.com/personal/brian_ramdhani_epson_co_id/Documents/Apps/Microsoft%20Forms/TAKATSU%20ANALYZE%20REPORT/Question/Shutter%20Check%20NG_Nazar%20Bagus%20H..png&quot;,&quot;id&quot;:&quot;01D6UVHSI6EJ3AABUM4JGI5IFKSPCB5JWN&quot;,&quot;type&quot;:null,&quot;size&quot;:5136775,&quot;referenceId&quot;:&quot;01D6UVHSOX5DG5RX522VGYFCV365U3UBU3&quot;,&quot;driveId&quot;:&quot;b!7qg8FsnQY0iiT36_x6Novv_3J9v4MtxPsytkCbb-ZPz3ScQFcxKeSqI2jw7AAtnZ&quot;,&quot;status&quot;:1,&quot;uploadSessionUrl&quot;:null}]"/>
    <m/>
    <s v="PjEzefZSM06AH0m8Mo_4s8gAGhBv"/>
    <m/>
    <m/>
    <m/>
    <m/>
    <m/>
    <m/>
    <s v="Man :_x000a_Methode :_x000a_Materials :_x000a_Machine/Jig :"/>
    <m/>
    <m/>
    <m/>
    <m/>
    <m/>
    <s v="1. _x000a_2. _x000a_3. _x000a_4. _x000a_5. "/>
    <s v="Packing Chamber slight imposition that makes any air leakage."/>
    <m/>
    <m/>
    <s v="Change Chamber (Pad) any re-Calibrate Machine."/>
    <s v="Nazar Bagus H."/>
  </r>
  <r>
    <s v="AR250304011247"/>
    <s v="RP250306115846"/>
    <x v="49"/>
    <d v="2025-03-06T00:00:00"/>
    <s v="Takatsu-8 Autocutter"/>
    <m/>
    <m/>
    <s v="TKSAL-002"/>
    <s v="Abnormal Noise"/>
    <x v="20"/>
    <m/>
    <s v="Operator"/>
    <s v="MA09-PG Adjustment [Setting 1]"/>
    <s v="During Platen Fan Adjustment"/>
    <m/>
    <m/>
    <s v="Saat Platen dan adjustment"/>
    <s v="During platen fan adjustment in PG Stage, found noise in platen unit area"/>
    <s v="[{&quot;name&quot;:&quot;False Reject_Zainul Muttaqin.png&quot;,&quot;link&quot;:&quot;https://epsongroup-my.sharepoint.com/personal/brian_ramdhani_epson_co_id/Documents/Apps/Microsoft%20Forms/TAKATSU%20ANALYZE%20REPORT/Question/False%20Reject_Zainul%20Muttaqin.png&quot;,&quot;id&quot;:&quot;01D6UVHSOW7NW26KNS2VH2HZZIQ665QTXD&quot;,&quot;type&quot;:null,&quot;size&quot;:1313,&quot;referenceId&quot;:&quot;01D6UVHSOX5DG5RX522VGYFCV365U3UBU3&quot;,&quot;driveId&quot;:&quot;b!7qg8FsnQY0iiT36_x6Novv_3J9v4MtxPsytkCbb-ZPz3ScQFcxKeSqI2jw7AAtnZ&quot;,&quot;status&quot;:1,&quot;uploadSessionUrl&quot;:null}]"/>
    <m/>
    <s v="GeUAZOD65UaBVL2QDyVPK8gAPwvG"/>
    <m/>
    <m/>
    <m/>
    <m/>
    <m/>
    <m/>
    <s v="Man :_x000a_Methode :_x000a_Materials :_x000a_Machine/Jig :"/>
    <m/>
    <m/>
    <m/>
    <m/>
    <m/>
    <s v="1. _x000a_2. _x000a_3. _x000a_4. _x000a_5. "/>
    <s v="False reject"/>
    <m/>
    <m/>
    <s v="False reject, continue production process"/>
    <s v="Zainul Muttaqin"/>
  </r>
  <r>
    <s v="AR250305081744"/>
    <s v="RP250320085112"/>
    <x v="50"/>
    <d v="2025-03-20T00:00:00"/>
    <s v="Takatsu-8 Autocutter"/>
    <m/>
    <m/>
    <s v="TKSAL-028"/>
    <s v="d Cannot Adjust"/>
    <x v="35"/>
    <m/>
    <s v="Leader"/>
    <s v="MA10-Printing"/>
    <s v="During Printing Inspection"/>
    <m/>
    <m/>
    <s v="Jig 07"/>
    <s v="Found thin Line on BiD Result"/>
    <s v="[{&quot;name&quot;:&quot;BID VSD3 NG_Nazar Bagus H. 1.jpg&quot;,&quot;link&quot;:&quot;https://epsongroup-my.sharepoint.com/personal/brian_ramdhani_epson_co_id/Documents/Apps/Microsoft%20Forms/TAKATSU%20ANALYZE%20REPORT/Question/BID%20VSD3%20NG_Nazar%20Bagus%20H.%201.jpg&quot;,&quot;id&quot;:&quot;01D6UVHSKJJFDFOUV4UZGKP3345FCR3H4L&quot;,&quot;type&quot;:null,&quot;size&quot;:527655,&quot;referenceId&quot;:&quot;01D6UVHSOX5DG5RX522VGYFCV365U3UBU3&quot;,&quot;driveId&quot;:&quot;b!7qg8FsnQY0iiT36_x6Novv_3J9v4MtxPsytkCbb-ZPz3ScQFcxKeSqI2jw7AAtnZ&quot;,&quot;status&quot;:1,&quot;uploadSessionUrl&quot;:null}]"/>
    <m/>
    <s v="Ev1tY4C1AECrZU7jWE-aMsgAKO3o"/>
    <m/>
    <m/>
    <m/>
    <m/>
    <m/>
    <m/>
    <s v="Man :_x000a_Methode :_x000a_Materials :_x000a_Machine/Jig :"/>
    <m/>
    <m/>
    <m/>
    <m/>
    <m/>
    <s v="1. _x000a_2. _x000a_3. _x000a_4. _x000a_5. "/>
    <s v="False Reject"/>
    <m/>
    <m/>
    <s v="Not NG"/>
    <s v="Nazar Bagus H."/>
  </r>
  <r>
    <s v="AR250305125834"/>
    <s v="RP250306120214"/>
    <x v="50"/>
    <d v="2025-03-06T00:00:00"/>
    <s v="Takatsu-8 Autocutter"/>
    <m/>
    <m/>
    <s v="TKSAL-002"/>
    <s v="Abnormal Noise"/>
    <x v="38"/>
    <m/>
    <s v="Operator"/>
    <s v="MA10-Printing"/>
    <s v="During Cutting Paper in Printing Stage"/>
    <m/>
    <m/>
    <s v="Saat proses fugtion "/>
    <s v="During cutting paper use Auto Cutter Unit, found noise in Auto Cutter Unit area"/>
    <s v="[{&quot;name&quot;:&quot;False Reject_Zainul Muttaqin 1.png&quot;,&quot;link&quot;:&quot;https://epsongroup-my.sharepoint.com/personal/brian_ramdhani_epson_co_id/Documents/Apps/Microsoft%20Forms/TAKATSU%20ANALYZE%20REPORT/Question/False%20Reject_Zainul%20Muttaqin%201.png&quot;,&quot;id&quot;:&quot;01D6UVHSJLLJYFSJ6GGFEK2QAGIRC2W5EP&quot;,&quot;type&quot;:null,&quot;size&quot;:1313,&quot;referenceId&quot;:&quot;01D6UVHSOX5DG5RX522VGYFCV365U3UBU3&quot;,&quot;driveId&quot;:&quot;b!7qg8FsnQY0iiT36_x6Novv_3J9v4MtxPsytkCbb-ZPz3ScQFcxKeSqI2jw7AAtnZ&quot;,&quot;status&quot;:1,&quot;uploadSessionUrl&quot;:null}]"/>
    <m/>
    <s v="vyhUNnZS2EipXxs8htQMXcgAGQnm"/>
    <m/>
    <m/>
    <m/>
    <m/>
    <m/>
    <m/>
    <s v="Man :_x000a_Methode :_x000a_Materials :_x000a_Machine/Jig :"/>
    <m/>
    <m/>
    <m/>
    <m/>
    <m/>
    <s v="1. _x000a_2. _x000a_3. _x000a_4. _x000a_5. "/>
    <s v="False reject"/>
    <m/>
    <m/>
    <s v="False reject, continue normal process"/>
    <s v="Zainul Muttaqin"/>
  </r>
  <r>
    <s v="AR250306074611"/>
    <s v="RP250306112930"/>
    <x v="51"/>
    <d v="2025-03-06T00:00:00"/>
    <s v="Takatsu-8 Autocutter"/>
    <m/>
    <m/>
    <s v="TKSFE-007"/>
    <s v="Fatal Error 004417"/>
    <x v="39"/>
    <m/>
    <s v="Operator"/>
    <s v="MA09-PG Adjustment [Setting 1]"/>
    <s v="Missing check at PH 1 during joint FFC Cable Head to Mechanism"/>
    <m/>
    <m/>
    <s v="Setelah power on"/>
    <s v="When mechanism initial process find Error information Fatal Error 004417"/>
    <s v="[{&quot;name&quot;:&quot;FE004417_Rio Rizki Khanigia.jpg&quot;,&quot;link&quot;:&quot;https://epsongroup-my.sharepoint.com/personal/brian_ramdhani_epson_co_id/Documents/Apps/Microsoft%20Forms/TAKATSU%20ANALYZE%20REPORT/Question/FE004417_Rio%20Rizki%20Khanigia.jpg&quot;,&quot;id&quot;:&quot;01D6UVHSMKRBFODKLBCNF27A46XTOZHKTE&quot;,&quot;type&quot;:null,&quot;size&quot;:139896,&quot;referenceId&quot;:&quot;01D6UVHSOX5DG5RX522VGYFCV365U3UBU3&quot;,&quot;driveId&quot;:&quot;b!7qg8FsnQY0iiT36_x6Novv_3J9v4MtxPsytkCbb-ZPz3ScQFcxKeSqI2jw7AAtnZ&quot;,&quot;status&quot;:1,&quot;uploadSessionUrl&quot;:null}]"/>
    <m/>
    <s v="VOuTeOA-lEGeFtJY6ilUoMgACOzr"/>
    <m/>
    <m/>
    <m/>
    <m/>
    <m/>
    <m/>
    <s v="Man :_x000a_Methode :_x000a_Materials :_x000a_Machine/Jig :"/>
    <m/>
    <m/>
    <m/>
    <m/>
    <m/>
    <s v="1. _x000a_2. _x000a_3. _x000a_4. _x000a_5. "/>
    <s v="Problem Part from Vendor (Totoku)"/>
    <m/>
    <m/>
    <s v="Segregate all Stock WIP. Part Level, Pn/n : 0/60. WIP Mechanism, Pn/n: 0/5. "/>
    <s v="Rio Rizki Khanigia"/>
  </r>
  <r>
    <s v="AR250306104138"/>
    <s v="RP250307012525"/>
    <x v="51"/>
    <d v="2025-03-07T00:00:00"/>
    <s v="Takatsu-8 Autocutter"/>
    <m/>
    <m/>
    <s v="TKSAL-013"/>
    <s v="Ink End Sensor NG"/>
    <x v="40"/>
    <m/>
    <s v="Operator"/>
    <s v="MA11-Discharge"/>
    <s v="During Discharge Process"/>
    <m/>
    <m/>
    <s v="Saat proses ink discharge"/>
    <s v="When end of discharge process, found IES Spring Check 1 NG"/>
    <s v="[{&quot;name&quot;:&quot;IES Spring Check NG_Zainul Muttaqin.jpg&quot;,&quot;link&quot;:&quot;https://epsongroup-my.sharepoint.com/personal/brian_ramdhani_epson_co_id/Documents/Apps/Microsoft%20Forms/TAKATSU%20ANALYZE%20REPORT/Question/IES%20Spring%20Check%20NG_Zainul%20Muttaqin.jpg&quot;,&quot;id&quot;:&quot;01D6UVHSMFBWCTMXUK65CZTWMRFC4SJ3SX&quot;,&quot;type&quot;:null,&quot;size&quot;:141834,&quot;referenceId&quot;:&quot;01D6UVHSOX5DG5RX522VGYFCV365U3UBU3&quot;,&quot;driveId&quot;:&quot;b!7qg8FsnQY0iiT36_x6Novv_3J9v4MtxPsytkCbb-ZPz3ScQFcxKeSqI2jw7AAtnZ&quot;,&quot;status&quot;:1,&quot;uploadSessionUrl&quot;:null}]"/>
    <m/>
    <s v="SZe6eCrUiU-llcNe-5pdm8gAMOiT"/>
    <m/>
    <m/>
    <m/>
    <m/>
    <m/>
    <m/>
    <s v="Man :_x000a_Methode :_x000a_Materials :_x000a_Machine/Jig :"/>
    <m/>
    <m/>
    <m/>
    <m/>
    <m/>
    <s v="1. _x000a_2. _x000a_3. _x000a_4. _x000a_5. "/>
    <s v="Direct cause IH Unit [Continue analyze]"/>
    <m/>
    <m/>
    <s v="Change IH Unit become OK, continue analyze"/>
    <s v="Zainul Muttaqin"/>
  </r>
  <r>
    <s v="AR250306010058"/>
    <s v="RP250322085033"/>
    <x v="51"/>
    <d v="2025-03-22T00:00:00"/>
    <s v="Takatsu-8 Autocutter"/>
    <m/>
    <m/>
    <s v="TKSAL-010"/>
    <s v="DO"/>
    <x v="2"/>
    <m/>
    <s v="Operator"/>
    <s v="MA10-Printing"/>
    <s v="During Ink Charge Process in Printing Stage"/>
    <m/>
    <m/>
    <s v="Jig 05"/>
    <s v="During Ink Charge Process until 2.6, found result printing was DO"/>
    <s v="[{&quot;name&quot;:&quot;DO_Zainul Muttaqin 2.png&quot;,&quot;link&quot;:&quot;https://epsongroup-my.sharepoint.com/personal/brian_ramdhani_epson_co_id/Documents/Apps/Microsoft%20Forms/TAKATSU%20ANALYZE%20REPORT/Question/DO_Zainul%20Muttaqin%202.png&quot;,&quot;id&quot;:&quot;01D6UVHSJRAE3QR7VLBZAZYKTV5JPDM5PV&quot;,&quot;type&quot;:null,&quot;size&quot;:163030,&quot;referenceId&quot;:&quot;01D6UVHSOX5DG5RX522VGYFCV365U3UBU3&quot;,&quot;driveId&quot;:&quot;b!7qg8FsnQY0iiT36_x6Novv_3J9v4MtxPsytkCbb-ZPz3ScQFcxKeSqI2jw7AAtnZ&quot;,&quot;status&quot;:1,&quot;uploadSessionUrl&quot;:null}]"/>
    <m/>
    <s v="fF-tHnSHHEmoaDaQjQCTVsgANPO6"/>
    <m/>
    <m/>
    <m/>
    <m/>
    <m/>
    <m/>
    <s v="Man :_x000a_Methode :_x000a_Materials :_x000a_Machine/Jig :"/>
    <s v="DO"/>
    <s v="Possibility Foreign Material on Print Head"/>
    <s v="Still analyze"/>
    <m/>
    <m/>
    <s v="1. DO_x000a_2. Possibility Foreign Material on Print Head_x000a_3. Still analyze_x000a_4. _x000a_5. "/>
    <s v="Possibility any foreign material on inside area of PH"/>
    <m/>
    <m/>
    <s v="Change PH and return to PH Department to continue deep analyze"/>
    <s v="Zainul Muttaqin"/>
  </r>
  <r>
    <s v="AR250307075619"/>
    <s v="RP250307104301"/>
    <x v="52"/>
    <d v="2025-03-07T00:00:00"/>
    <s v="Takatsu-8 Peeler"/>
    <m/>
    <m/>
    <s v="TKSAL-013"/>
    <s v="Ink End Sensor NG"/>
    <x v="41"/>
    <m/>
    <s v="Operator"/>
    <s v="MA11-Discharge"/>
    <s v="During Discharge Process"/>
    <m/>
    <m/>
    <s v="Still analize"/>
    <s v="When end of discharge process, found IES Spring Check 1 NG"/>
    <s v="[{&quot;name&quot;:&quot;False Reject_Zainul Muttaqin 2.png&quot;,&quot;link&quot;:&quot;https://epsongroup-my.sharepoint.com/personal/brian_ramdhani_epson_co_id/Documents/Apps/Microsoft%20Forms/TAKATSU%20ANALYZE%20REPORT/Question/False%20Reject_Zainul%20Muttaqin%202.png&quot;,&quot;id&quot;:&quot;01D6UVHSMQCQMNMDMECNBZ7PM6CK3LNUM7&quot;,&quot;type&quot;:null,&quot;size&quot;:1313,&quot;referenceId&quot;:&quot;01D6UVHSOX5DG5RX522VGYFCV365U3UBU3&quot;,&quot;driveId&quot;:&quot;b!7qg8FsnQY0iiT36_x6Novv_3J9v4MtxPsytkCbb-ZPz3ScQFcxKeSqI2jw7AAtnZ&quot;,&quot;status&quot;:1,&quot;uploadSessionUrl&quot;:null}]"/>
    <m/>
    <s v="9NbGtgdU8k6uDY06jZg6x8gAKefq"/>
    <m/>
    <m/>
    <m/>
    <m/>
    <m/>
    <m/>
    <s v="Man :_x000a_Methode :_x000a_Materials :_x000a_Machine/Jig :"/>
    <m/>
    <m/>
    <m/>
    <m/>
    <m/>
    <s v="1. _x000a_2. _x000a_3. _x000a_4. _x000a_5. "/>
    <s v="False reject"/>
    <m/>
    <m/>
    <s v="False reject, continue normal process"/>
    <s v="Zainul Muttaqin"/>
  </r>
  <r>
    <s v="AR250307084059"/>
    <s v="RP250307013301"/>
    <x v="52"/>
    <d v="2025-03-07T00:00:00"/>
    <s v="Takatsu-4 Autocutter"/>
    <m/>
    <m/>
    <s v="TKSAL-021"/>
    <s v="Platen Fan Adjustment NG"/>
    <x v="1"/>
    <m/>
    <s v="Operator"/>
    <s v="MA09-PG Adjustment [Setting 1]"/>
    <s v="During PG Inspection"/>
    <m/>
    <m/>
    <s v="Still analize"/>
    <s v="During Platen Fan Adjustment, Found Value NG Low"/>
    <s v="[{&quot;name&quot;:&quot;Drum SHutter NG_Nazar Bagus H..png&quot;,&quot;link&quot;:&quot;https://epsongroup-my.sharepoint.com/personal/brian_ramdhani_epson_co_id/Documents/Apps/Microsoft%20Forms/TAKATSU%20ANALYZE%20REPORT/Question/Drum%20SHutter%20NG_Nazar%20Bagus%20H..png&quot;,&quot;id&quot;:&quot;01D6UVHSJGJKQDAN2PDZDK42W3KDYDOYLI&quot;,&quot;type&quot;:null,&quot;size&quot;:6932429,&quot;referenceId&quot;:&quot;01D6UVHSOX5DG5RX522VGYFCV365U3UBU3&quot;,&quot;driveId&quot;:&quot;b!7qg8FsnQY0iiT36_x6Novv_3J9v4MtxPsytkCbb-ZPz3ScQFcxKeSqI2jw7AAtnZ&quot;,&quot;status&quot;:1,&quot;uploadSessionUrl&quot;:null}]"/>
    <m/>
    <s v="UrJdSMFvO0OsiiHnC7JqB8gAHJ7w"/>
    <m/>
    <m/>
    <m/>
    <m/>
    <m/>
    <m/>
    <s v="Man :_x000a_Methode :_x000a_Materials :_x000a_Machine/Jig :"/>
    <m/>
    <m/>
    <m/>
    <m/>
    <m/>
    <s v="1. _x000a_2. _x000a_3. _x000a_4. _x000a_5. "/>
    <s v="Shutter Drum Position NG"/>
    <m/>
    <m/>
    <s v="Remind Operator to ensure Drum Shutter Position are Open"/>
    <s v="Nazar Bagus H."/>
  </r>
  <r>
    <s v="AR250307084222"/>
    <s v="RP250307013540"/>
    <x v="52"/>
    <d v="2025-03-07T00:00:00"/>
    <s v="Takatsu-4 Autocutter"/>
    <m/>
    <m/>
    <s v="TKSAL-021"/>
    <s v="Platen Fan Adjustment NG"/>
    <x v="1"/>
    <m/>
    <s v="Operator"/>
    <s v="MA09-PG Adjustment [Setting 1]"/>
    <s v="During PG Inspection"/>
    <m/>
    <m/>
    <s v="Still analize"/>
    <s v="During Platen Fan Adjustment, Found Value NG Low"/>
    <s v="[{&quot;name&quot;:&quot;Drum SHutter NG_Nazar Bagus H. 1.png&quot;,&quot;link&quot;:&quot;https://epsongroup-my.sharepoint.com/personal/brian_ramdhani_epson_co_id/Documents/Apps/Microsoft%20Forms/TAKATSU%20ANALYZE%20REPORT/Question/Drum%20SHutter%20NG_Nazar%20Bagus%20H.%201.png&quot;,&quot;id&quot;:&quot;01D6UVHSKSLCBYD45GQBAZUKOXPX6RBCUL&quot;,&quot;type&quot;:null,&quot;size&quot;:6932429,&quot;referenceId&quot;:&quot;01D6UVHSOX5DG5RX522VGYFCV365U3UBU3&quot;,&quot;driveId&quot;:&quot;b!7qg8FsnQY0iiT36_x6Novv_3J9v4MtxPsytkCbb-ZPz3ScQFcxKeSqI2jw7AAtnZ&quot;,&quot;status&quot;:1,&quot;uploadSessionUrl&quot;:null}]"/>
    <m/>
    <s v="X3N29IODgU2XsOl2omA9GcgAL9Ol"/>
    <m/>
    <m/>
    <m/>
    <m/>
    <m/>
    <m/>
    <s v="Man :_x000a_Methode :_x000a_Materials :_x000a_Machine/Jig :"/>
    <m/>
    <m/>
    <m/>
    <m/>
    <m/>
    <s v="1. _x000a_2. _x000a_3. _x000a_4. _x000a_5. "/>
    <s v="Shutter Drum Position are closed"/>
    <m/>
    <m/>
    <s v="Remind Operator to ensure Drum Shutter Position are Open"/>
    <s v="Nazar Bagus H."/>
  </r>
  <r>
    <s v="AR250307124007"/>
    <s v="RP250322084219"/>
    <x v="52"/>
    <d v="2025-03-22T00:00:00"/>
    <s v="Takatsu-8 Peeler"/>
    <m/>
    <m/>
    <s v="TKSAL-010"/>
    <s v="DO"/>
    <x v="2"/>
    <m/>
    <s v="Operator"/>
    <s v="MA10-Printing"/>
    <s v="During Ink Charge Process in Printing Stage"/>
    <m/>
    <m/>
    <s v="DO after wiping still NG"/>
    <s v="During Initial Charge until 2.6 found result printing was DO"/>
    <s v="[{&quot;name&quot;:&quot;DO_Zainul Muttaqin.png&quot;,&quot;link&quot;:&quot;https://epsongroup-my.sharepoint.com/personal/brian_ramdhani_epson_co_id/Documents/Apps/Microsoft%20Forms/TAKATSU%20ANALYZE%20REPORT/Question/DO_Zainul%20Muttaqin.png&quot;,&quot;id&quot;:&quot;01D6UVHSMQ2UPFTOPADFAL4UAZTXXXYA26&quot;,&quot;type&quot;:null,&quot;size&quot;:163030,&quot;referenceId&quot;:&quot;01D6UVHSOX5DG5RX522VGYFCV365U3UBU3&quot;,&quot;driveId&quot;:&quot;b!7qg8FsnQY0iiT36_x6Novv_3J9v4MtxPsytkCbb-ZPz3ScQFcxKeSqI2jw7AAtnZ&quot;,&quot;status&quot;:1,&quot;uploadSessionUrl&quot;:null}]"/>
    <m/>
    <s v="qGNl_tRGvk2vG8ASKBnzt8gAMkQx"/>
    <m/>
    <m/>
    <m/>
    <m/>
    <m/>
    <m/>
    <s v="Man :_x000a_Methode :_x000a_Materials :_x000a_Machine/Jig :"/>
    <s v="DO"/>
    <s v="Possibility Foreign Material on Print Head"/>
    <s v="Still analyze"/>
    <m/>
    <m/>
    <s v="1. DO_x000a_2. Possibility Foreign Material on Print Head_x000a_3. Still analyze_x000a_4. _x000a_5. "/>
    <s v="Possibility Foreign Material on Print Head"/>
    <m/>
    <m/>
    <s v="Change PH and return to PH Department to continue deep analyze"/>
    <s v="Zainul Muttaqin"/>
  </r>
  <r>
    <s v="AR250310083448"/>
    <s v="RP250310092024"/>
    <x v="53"/>
    <d v="2025-03-10T00:00:00"/>
    <s v="Takatsu-4 Autocutter"/>
    <m/>
    <m/>
    <s v="TKSAL-005"/>
    <s v="Abnormal Power On"/>
    <x v="10"/>
    <m/>
    <s v="Operator"/>
    <s v="MA10-CID Printing"/>
    <s v="During Initial Power ON"/>
    <m/>
    <m/>
    <s v="JIG 07"/>
    <s v="During initial power ON in Printing Stage, found Panel Loading"/>
    <s v="[{&quot;name&quot;:&quot;Panel Loading - CSIC Not Full Insert_Zainul Muttaqin.png&quot;,&quot;link&quot;:&quot;https://epsongroup-my.sharepoint.com/personal/brian_ramdhani_epson_co_id/Documents/Apps/Microsoft%20Forms/TAKATSU%20ANALYZE%20REPORT/Question/Panel%20Loading%20-%20CSIC%20Not%20Full%20Insert_Zainul%20Muttaqin.png&quot;,&quot;id&quot;:&quot;01D6UVHSNP42SRNIH44RDY2JX7DEA3C5MA&quot;,&quot;type&quot;:null,&quot;size&quot;:288336,&quot;referenceId&quot;:&quot;01D6UVHSOX5DG5RX522VGYFCV365U3UBU3&quot;,&quot;driveId&quot;:&quot;b!7qg8FsnQY0iiT36_x6Novv_3J9v4MtxPsytkCbb-ZPz3ScQFcxKeSqI2jw7AAtnZ&quot;,&quot;status&quot;:1,&quot;uploadSessionUrl&quot;:null}]"/>
    <m/>
    <s v="GGJbFO8kwkGnR8WYTD6It8gAOib0"/>
    <m/>
    <m/>
    <m/>
    <m/>
    <m/>
    <m/>
    <s v="Man :_x000a_Methode :_x000a_Materials :_x000a_Machine/Jig :"/>
    <m/>
    <m/>
    <m/>
    <m/>
    <m/>
    <s v="1. _x000a_2. _x000a_3. _x000a_4. _x000a_5. "/>
    <s v="CSIC I/C Y not full insert"/>
    <m/>
    <m/>
    <s v="Push CSIC I/C Y, become OK"/>
    <s v="Zainul Muttaqin"/>
  </r>
  <r>
    <s v="AR250310084815"/>
    <s v="RP250320085425"/>
    <x v="53"/>
    <d v="2025-03-20T00:00:00"/>
    <s v="Takatsu-4 Autocutter"/>
    <m/>
    <m/>
    <s v="TKSAL-027"/>
    <s v="Unstable Printing"/>
    <x v="14"/>
    <m/>
    <s v="Operator"/>
    <s v="MA10-Printing"/>
    <s v="During Printing Inspection"/>
    <m/>
    <m/>
    <s v="JIG 02"/>
    <s v="During Initial Ink Charge, found printing result Unstable"/>
    <s v="[{&quot;name&quot;:&quot;False Reject_Nazar Bagus H. 11.PNG&quot;,&quot;link&quot;:&quot;https://epsongroup-my.sharepoint.com/personal/brian_ramdhani_epson_co_id/Documents/Apps/Microsoft%20Forms/TAKATSU%20ANALYZE%20REPORT/Question/False%20Reject_Nazar%20Bagus%20H.%2011.PNG&quot;,&quot;id&quot;:&quot;01D6UVHSJ5NYEANBRGWFDYVPTGGQWKKJNC&quot;,&quot;type&quot;:null,&quot;size&quot;:1313,&quot;referenceId&quot;:&quot;01D6UVHSOX5DG5RX522VGYFCV365U3UBU3&quot;,&quot;driveId&quot;:&quot;b!7qg8FsnQY0iiT36_x6Novv_3J9v4MtxPsytkCbb-ZPz3ScQFcxKeSqI2jw7AAtnZ&quot;,&quot;status&quot;:1,&quot;uploadSessionUrl&quot;:null}]"/>
    <m/>
    <s v="RBfbHBJTw0mS4YQXFIYtY8gAJwMi"/>
    <m/>
    <m/>
    <m/>
    <m/>
    <m/>
    <m/>
    <s v="Man :_x000a_Methode :_x000a_Materials :_x000a_Machine/Jig :"/>
    <m/>
    <m/>
    <m/>
    <m/>
    <m/>
    <s v="1. _x000a_2. _x000a_3. _x000a_4. _x000a_5. "/>
    <s v="After Vacuum and Wiping in Repair Print Head can be Recovered"/>
    <m/>
    <m/>
    <s v="Wiping and Vacuum in Repair"/>
    <s v="Nazar Bagus H."/>
  </r>
  <r>
    <s v="AR250311081549"/>
    <s v="RP250322082619"/>
    <x v="54"/>
    <d v="2025-03-22T00:00:00"/>
    <s v="Takatsu-4 Autocutter"/>
    <m/>
    <m/>
    <s v="TKSAL-013"/>
    <s v="Ink End Sensor NG"/>
    <x v="40"/>
    <m/>
    <s v="Operator"/>
    <s v="MA11-Discharge"/>
    <s v="During Discharge Process"/>
    <m/>
    <m/>
    <s v="Saat proses ink discharge"/>
    <s v="During discharge process in Discharge Stage, found IES Check NG [End process of discharge]"/>
    <s v="[{&quot;name&quot;:&quot;IES Check NG_Zainul Muttaqin.png&quot;,&quot;link&quot;:&quot;https://epsongroup-my.sharepoint.com/personal/brian_ramdhani_epson_co_id/Documents/Apps/Microsoft%20Forms/TAKATSU%20ANALYZE%20REPORT/Question/IES%20Check%20NG_Zainul%20Muttaqin.png&quot;,&quot;id&quot;:&quot;01D6UVHSJEV4OWM3CCKRD2UFWQ7BQH5PCY&quot;,&quot;type&quot;:null,&quot;size&quot;:384117,&quot;referenceId&quot;:&quot;01D6UVHSOX5DG5RX522VGYFCV365U3UBU3&quot;,&quot;driveId&quot;:&quot;b!7qg8FsnQY0iiT36_x6Novv_3J9v4MtxPsytkCbb-ZPz3ScQFcxKeSqI2jw7AAtnZ&quot;,&quot;status&quot;:1,&quot;uploadSessionUrl&quot;:null}]"/>
    <m/>
    <s v="v6GzrToS9EiD4f6DF0iik8gADUrH"/>
    <m/>
    <m/>
    <s v="No Changes"/>
    <s v="No Changes"/>
    <s v="No Changes"/>
    <s v="No Changes"/>
    <s v="Man :No Changes_x000a_Methode :No Changes_x000a_Materials :No Changes_x000a_Machine/Jig :No Changes"/>
    <s v="Ink End Sensor NG"/>
    <s v="IH Unit NG"/>
    <s v="Still advanced analyze"/>
    <m/>
    <m/>
    <s v="1. Ink End Sensor NG_x000a_2. IH Unit NG_x000a_3. Still advanced analyze_x000a_4. _x000a_5. "/>
    <s v="IH Unit NG --&gt; Still analyze"/>
    <m/>
    <m/>
    <s v="1. Continue monitoring NG ID 1[6] Check Spring of Ink Holder Unit Error, 2. Additional 1x IES Spring Check at Discharge Stage after finish Ink Discharge Stage, 3. Inform to SEC after monitoring data finish."/>
    <s v="Zainul Muttaqin"/>
  </r>
  <r>
    <s v="AR250312074350"/>
    <s v="RP250312104817"/>
    <x v="55"/>
    <d v="2025-03-12T00:00:00"/>
    <s v="Takatsu-8 Peeler"/>
    <m/>
    <m/>
    <s v="TKSAL-017"/>
    <s v="Paper Jam"/>
    <x v="5"/>
    <m/>
    <s v="Operator"/>
    <s v="MA09-PG Adjustment [Setting 1]"/>
    <s v="During PG Inspection"/>
    <m/>
    <m/>
    <s v="saat proses label sensor calibration"/>
    <s v="During Label Sensor Calibration Check on Stage PG, appear Paper Jam Error"/>
    <s v="[{&quot;name&quot;:&quot;FFC Peeler Peeled off (Paper Jam).jpg_Nazar Bagus H..png&quot;,&quot;link&quot;:&quot;https://epsongroup-my.sharepoint.com/personal/brian_ramdhani_epson_co_id/Documents/Apps/Microsoft%20Forms/TAKATSU%20ANALYZE%20REPORT/Question/FFC%20Peeler%20Peeled%20off%20(Paper%20Jam).jpg_Nazar%20Bagus%20H..png&quot;,&quot;id&quot;:&quot;01D6UVHSNILLFFYL2QHNEYL57U7O4PPS4T&quot;,&quot;type&quot;:null,&quot;size&quot;:4608351,&quot;referenceId&quot;:&quot;01D6UVHSOX5DG5RX522VGYFCV365U3UBU3&quot;,&quot;driveId&quot;:&quot;b!7qg8FsnQY0iiT36_x6Novv_3J9v4MtxPsytkCbb-ZPz3ScQFcxKeSqI2jw7AAtnZ&quot;,&quot;status&quot;:1,&quot;uploadSessionUrl&quot;:null}]"/>
    <m/>
    <s v="ilTbgwJV80-1D8HK6_RtIMgAGtMi"/>
    <m/>
    <m/>
    <m/>
    <m/>
    <m/>
    <m/>
    <s v="Man :_x000a_Methode :_x000a_Materials :_x000a_Machine/Jig :"/>
    <m/>
    <m/>
    <m/>
    <m/>
    <m/>
    <s v="1. _x000a_2. _x000a_3. _x000a_4. _x000a_5. "/>
    <s v="FFC Peeler Peeled Off"/>
    <m/>
    <m/>
    <s v="Change FFC Peeler and check stock WIP"/>
    <s v="Nazar Bagus H."/>
  </r>
  <r>
    <s v="AR250312074610"/>
    <s v="RP250322083644"/>
    <x v="55"/>
    <d v="2025-03-22T00:00:00"/>
    <s v="Takatsu-8 Peeler"/>
    <m/>
    <m/>
    <s v="Abnormal "/>
    <s v="Abnormal Indicator Lamp [Orange]"/>
    <x v="18"/>
    <m/>
    <s v="Operator"/>
    <s v="MA09-PG Adjustment [Setting 1]"/>
    <s v="During Label Calibration in PG Stage"/>
    <m/>
    <m/>
    <s v="Saat proses label sensor calibration"/>
    <s v="During label calibration check, found Abnormal Indicator Lamp [Orange]"/>
    <s v="[{&quot;name&quot;:&quot;Abnormal Indicator Lamp_Zainul Muttaqin.jpg&quot;,&quot;link&quot;:&quot;https://epsongroup-my.sharepoint.com/personal/brian_ramdhani_epson_co_id/Documents/Apps/Microsoft%20Forms/TAKATSU%20ANALYZE%20REPORT/Question/Abnormal%20Indicator%20Lamp_Zainul%20Muttaqin.jpg&quot;,&quot;id&quot;:&quot;01D6UVHSNXE3P6RS3W6NF3NDUNERPXCUH2&quot;,&quot;type&quot;:null,&quot;size&quot;:62735,&quot;referenceId&quot;:&quot;01D6UVHSOX5DG5RX522VGYFCV365U3UBU3&quot;,&quot;driveId&quot;:&quot;b!7qg8FsnQY0iiT36_x6Novv_3J9v4MtxPsytkCbb-ZPz3ScQFcxKeSqI2jw7AAtnZ&quot;,&quot;status&quot;:1,&quot;uploadSessionUrl&quot;:null}]"/>
    <m/>
    <s v="teuxwFJDqUOnBzLy_cvLMcgAGgIF"/>
    <m/>
    <m/>
    <m/>
    <m/>
    <m/>
    <m/>
    <s v="Man :_x000a_Methode :_x000a_Materials :_x000a_Machine/Jig :"/>
    <s v="Abnormal Indicator Lamp"/>
    <s v="Panel Unit NG"/>
    <s v="Still analyze"/>
    <m/>
    <m/>
    <s v="1. Abnormal Indicator Lamp_x000a_2. Panel Unit NG_x000a_3. Still analyze_x000a_4. _x000a_5. "/>
    <s v="Panel Unit NG --&gt; Still analyze and monitoring"/>
    <m/>
    <m/>
    <s v="Change platen unit become OK, still analyze and monitoring"/>
    <s v="Zainul Muttaqin"/>
  </r>
  <r>
    <s v="AR250313022416"/>
    <s v="RP250322081525"/>
    <x v="56"/>
    <d v="2025-03-22T00:00:00"/>
    <s v="Takatsu-8 Autocutter"/>
    <m/>
    <m/>
    <s v="Fatal Err"/>
    <s v="Fatal Error 5834 [Platen Shutter Overload Error]"/>
    <x v="42"/>
    <m/>
    <s v="Operator"/>
    <s v="MA09-PG Adjustment [Setting 1]"/>
    <s v="During Initial Power ON product in PG Stage"/>
    <m/>
    <m/>
    <s v="Saat power on"/>
    <s v="During initial power ON product in PG Stage, found FE 5834 [Platen Shutter Overload Error]"/>
    <s v="[{&quot;name&quot;:&quot;FE 5834_Zainul Muttaqin.png&quot;,&quot;link&quot;:&quot;https://epsongroup-my.sharepoint.com/personal/brian_ramdhani_epson_co_id/Documents/Apps/Microsoft%20Forms/TAKATSU%20ANALYZE%20REPORT/Question/FE%205834_Zainul%20Muttaqin.png&quot;,&quot;id&quot;:&quot;01D6UVHSN7QG3HFWHDJRB26QCC7H6TRNLM&quot;,&quot;type&quot;:null,&quot;size&quot;:115365,&quot;referenceId&quot;:&quot;01D6UVHSOX5DG5RX522VGYFCV365U3UBU3&quot;,&quot;driveId&quot;:&quot;b!7qg8FsnQY0iiT36_x6Novv_3J9v4MtxPsytkCbb-ZPz3ScQFcxKeSqI2jw7AAtnZ&quot;,&quot;status&quot;:1,&quot;uploadSessionUrl&quot;:null}]"/>
    <m/>
    <s v="sWjR8tGEOke-1L1m8uy4LcgANEf-"/>
    <m/>
    <m/>
    <m/>
    <m/>
    <m/>
    <m/>
    <s v="Man :_x000a_Methode :_x000a_Materials :_x000a_Machine/Jig :"/>
    <s v="FE 005834"/>
    <s v="Platen Unit NG"/>
    <s v="Motor Shutter Encoder NG"/>
    <m/>
    <m/>
    <s v="1. FE 005834_x000a_2. Platen Unit NG_x000a_3. Motor Shutter Encoder NG_x000a_4. _x000a_5. "/>
    <s v="Motor shutter encoder NG"/>
    <m/>
    <m/>
    <s v="Change motor shutter encoder become OK, monitoring this defect"/>
    <s v="Zainul Muttaqin"/>
  </r>
  <r>
    <s v="AR250314013447"/>
    <s v="RP250322081839"/>
    <x v="57"/>
    <d v="2025-03-22T00:00:00"/>
    <s v="Takatsu-4 Autocutter"/>
    <m/>
    <m/>
    <s v="TKSAL-007"/>
    <s v="CSIC Check NG"/>
    <x v="43"/>
    <m/>
    <s v="Operator"/>
    <s v="MA09-PG Adjustment [Setting 1]"/>
    <s v="During Initial Power ON product in PG Stage"/>
    <m/>
    <m/>
    <s v="Saat power on"/>
    <s v="During initial power ON product in PG Stage, MTC Box can not detect"/>
    <s v="[{&quot;name&quot;:&quot;False Reject_Zainul Muttaqin 4.png&quot;,&quot;link&quot;:&quot;https://epsongroup-my.sharepoint.com/personal/brian_ramdhani_epson_co_id/Documents/Apps/Microsoft%20Forms/TAKATSU%20ANALYZE%20REPORT/Question/False%20Reject_Zainul%20Muttaqin%204.png&quot;,&quot;id&quot;:&quot;01D6UVHSPY5PRQUBHZCNAZIJXHW6KO3MQO&quot;,&quot;type&quot;:null,&quot;size&quot;:1313,&quot;referenceId&quot;:&quot;01D6UVHSOX5DG5RX522VGYFCV365U3UBU3&quot;,&quot;driveId&quot;:&quot;b!7qg8FsnQY0iiT36_x6Novv_3J9v4MtxPsytkCbb-ZPz3ScQFcxKeSqI2jw7AAtnZ&quot;,&quot;status&quot;:1,&quot;uploadSessionUrl&quot;:null}]"/>
    <m/>
    <s v="HeKPdWsZ0Ei95z_2-swU88gAEIVd"/>
    <m/>
    <m/>
    <m/>
    <m/>
    <m/>
    <m/>
    <s v="Man :_x000a_Methode :_x000a_Materials :_x000a_Machine/Jig :"/>
    <m/>
    <m/>
    <m/>
    <m/>
    <m/>
    <s v="1. _x000a_2. _x000a_3. _x000a_4. _x000a_5. "/>
    <s v="False reject"/>
    <m/>
    <m/>
    <s v="False reject"/>
    <s v="Zainul Muttaqin"/>
  </r>
  <r>
    <s v="AR250315072535"/>
    <s v="RP250317104248"/>
    <x v="58"/>
    <d v="2025-03-17T00:00:00"/>
    <s v="Takatsu-4 Autocutter"/>
    <m/>
    <m/>
    <s v="TKSAL-002"/>
    <s v="Abnormal Noise"/>
    <x v="20"/>
    <m/>
    <s v="Leader"/>
    <s v="MA10-Printing"/>
    <s v="During Miss Piping Check"/>
    <m/>
    <m/>
    <s v="Proses miss Piping"/>
    <s v="During miss piping check, found noise in MNU area"/>
    <s v="[{&quot;name&quot;:&quot;False Reject_Zainul Muttaqin 3.png&quot;,&quot;link&quot;:&quot;https://epsongroup-my.sharepoint.com/personal/brian_ramdhani_epson_co_id/Documents/Apps/Microsoft%20Forms/TAKATSU%20ANALYZE%20REPORT/Question/False%20Reject_Zainul%20Muttaqin%203.png&quot;,&quot;id&quot;:&quot;01D6UVHSMDYHTSI7QKB5CY5F24IHSSS7QW&quot;,&quot;type&quot;:null,&quot;size&quot;:1313,&quot;referenceId&quot;:&quot;01D6UVHSOX5DG5RX522VGYFCV365U3UBU3&quot;,&quot;driveId&quot;:&quot;b!7qg8FsnQY0iiT36_x6Novv_3J9v4MtxPsytkCbb-ZPz3ScQFcxKeSqI2jw7AAtnZ&quot;,&quot;status&quot;:1,&quot;uploadSessionUrl&quot;:null}]"/>
    <m/>
    <s v="gLkH-ef8dkKPhbZo2vcKJcgAK7TE"/>
    <m/>
    <m/>
    <m/>
    <m/>
    <m/>
    <m/>
    <s v="Man :_x000a_Methode :_x000a_Materials :_x000a_Machine/Jig :"/>
    <m/>
    <m/>
    <m/>
    <m/>
    <m/>
    <s v="1. _x000a_2. _x000a_3. _x000a_4. _x000a_5. "/>
    <s v="false reject"/>
    <m/>
    <m/>
    <s v="false reject"/>
    <s v="Zainul Muttaqin"/>
  </r>
  <r>
    <s v="AR250318093314"/>
    <s v="RP250318112720"/>
    <x v="59"/>
    <d v="2025-03-18T00:00:00"/>
    <s v="Takatsu-8 Peeler"/>
    <m/>
    <m/>
    <s v="TKSAL-002"/>
    <s v="Abnormal Noise"/>
    <x v="20"/>
    <m/>
    <s v="Operator"/>
    <s v="MA10-Printing"/>
    <s v="During Printing "/>
    <m/>
    <m/>
    <s v="Saat inkcharge"/>
    <s v="During vacuum paper at platen unit, hear little noise when platen 100% performance"/>
    <s v="[{&quot;name&quot;:&quot;Over Judgement By OP_Rio Rizki Khanigia.jpg&quot;,&quot;link&quot;:&quot;https://epsongroup-my.sharepoint.com/personal/brian_ramdhani_epson_co_id/Documents/Apps/Microsoft%20Forms/TAKATSU%20ANALYZE%20REPORT/Question/Over%20Judgement%20By%20OP_Rio%20Rizki%20Khanigia.jpg&quot;,&quot;id&quot;:&quot;01D6UVHSNWQJJF4YD63FDISHG5ON52JLIC&quot;,&quot;type&quot;:null,&quot;size&quot;:34570,&quot;referenceId&quot;:&quot;01D6UVHSOX5DG5RX522VGYFCV365U3UBU3&quot;,&quot;driveId&quot;:&quot;b!7qg8FsnQY0iiT36_x6Novv_3J9v4MtxPsytkCbb-ZPz3ScQFcxKeSqI2jw7AAtnZ&quot;,&quot;status&quot;:1,&quot;uploadSessionUrl&quot;:null}]"/>
    <m/>
    <s v="FYCaIuJQVk2AghbFMS3s-sgALQEW"/>
    <m/>
    <m/>
    <m/>
    <m/>
    <m/>
    <m/>
    <s v="Man :_x000a_Methode :_x000a_Materials :_x000a_Machine/Jig :"/>
    <m/>
    <m/>
    <m/>
    <m/>
    <m/>
    <s v="1. _x000a_2. _x000a_3. _x000a_4. _x000a_5. "/>
    <s v="Arrangement cable Platen unit not good"/>
    <m/>
    <m/>
    <s v="re-arrangement platen unit cable "/>
    <s v="Rio Rizki Khanigia"/>
  </r>
  <r>
    <s v="AR250325115121"/>
    <s v="RP250416084321"/>
    <x v="60"/>
    <d v="2025-04-16T00:00:00"/>
    <s v="Takatsu-8 Autocutter"/>
    <m/>
    <m/>
    <s v="TKSAL-027"/>
    <s v="Unstable Printing"/>
    <x v="14"/>
    <m/>
    <s v="Operator"/>
    <s v="MA10-Printing"/>
    <s v="Diring Check Result Printing"/>
    <m/>
    <m/>
    <s v="Jig 01"/>
    <s v="During printing check after Ink Charge in Printing Stage, found the result printing was Unstable Print"/>
    <s v="[{&quot;name&quot;:&quot;UP_Zainul Muttaqin.jpg&quot;,&quot;link&quot;:&quot;https://epsongroup-my.sharepoint.com/personal/brian_ramdhani_epson_co_id/Documents/Apps/Microsoft%20Forms/TAKATSU%20ANALYZE%20REPORT/Question/UP_Zainul%20Muttaqin.jpg&quot;,&quot;id&quot;:&quot;01D6UVHSP4BQ2U4VBNYVCYMJXMSM2YXOKH&quot;,&quot;type&quot;:null,&quot;size&quot;:72772,&quot;referenceId&quot;:&quot;01D6UVHSOX5DG5RX522VGYFCV365U3UBU3&quot;,&quot;driveId&quot;:&quot;b!7qg8FsnQY0iiT36_x6Novv_3J9v4MtxPsytkCbb-ZPz3ScQFcxKeSqI2jw7AAtnZ&quot;,&quot;status&quot;:1,&quot;uploadSessionUrl&quot;:null}]"/>
    <m/>
    <s v="Stre1_pe8UaXgK9ceR9VvsgANV3u"/>
    <m/>
    <m/>
    <m/>
    <m/>
    <m/>
    <m/>
    <s v="Man :_x000a_Methode :_x000a_Materials :_x000a_Machine/Jig :"/>
    <m/>
    <m/>
    <m/>
    <m/>
    <m/>
    <s v="1. _x000a_2. _x000a_3. _x000a_4. _x000a_5. "/>
    <s v="F/M located in areas outside PH"/>
    <m/>
    <m/>
    <s v="Try to wiping PH"/>
    <s v="Zainul Muttaqin"/>
  </r>
  <r>
    <s v="AR250325115327"/>
    <s v="RP250325013156"/>
    <x v="60"/>
    <d v="2025-03-25T00:00:00"/>
    <s v="Takatsu-8 Autocutter"/>
    <m/>
    <m/>
    <s v="TKSAL-028"/>
    <s v="d Cannot Adjust"/>
    <x v="35"/>
    <m/>
    <s v="Operator"/>
    <s v="MA10-Printing"/>
    <s v="During Printing Inspection"/>
    <m/>
    <m/>
    <s v="Jig 02"/>
    <s v="Found VSD1 Result Abnormal"/>
    <s v="[{&quot;name&quot;:&quot;False Reject_Nazar Bagus H. 12.PNG&quot;,&quot;link&quot;:&quot;https://epsongroup-my.sharepoint.com/personal/brian_ramdhani_epson_co_id/Documents/Apps/Microsoft%20Forms/TAKATSU%20ANALYZE%20REPORT/Question/False%20Reject_Nazar%20Bagus%20H.%2012.PNG&quot;,&quot;id&quot;:&quot;01D6UVHSOCXKSERCNSGRB255SCQXUEHJBN&quot;,&quot;type&quot;:null,&quot;size&quot;:1313,&quot;referenceId&quot;:&quot;01D6UVHSOX5DG5RX522VGYFCV365U3UBU3&quot;,&quot;driveId&quot;:&quot;b!7qg8FsnQY0iiT36_x6Novv_3J9v4MtxPsytkCbb-ZPz3ScQFcxKeSqI2jw7AAtnZ&quot;,&quot;status&quot;:1,&quot;uploadSessionUrl&quot;:null}]"/>
    <m/>
    <s v="mGkP82Nhd0ud4-wZnRzBLsgAJTqs"/>
    <m/>
    <m/>
    <m/>
    <m/>
    <m/>
    <m/>
    <s v="Man :_x000a_Methode :_x000a_Materials :_x000a_Machine/Jig :"/>
    <m/>
    <m/>
    <m/>
    <m/>
    <m/>
    <s v="1. _x000a_2. _x000a_3. _x000a_4. _x000a_5. "/>
    <s v="Operator Insert Wrong Value to Kenpro"/>
    <m/>
    <m/>
    <s v="Remind Operator to ensure value are correct during kenpro value insertion"/>
    <s v="Nazar Bagus H."/>
  </r>
  <r>
    <s v="AR250407114027"/>
    <s v="RP250407021232"/>
    <x v="61"/>
    <d v="2025-04-07T00:00:00"/>
    <s v="Takatsu-4 Autocutter"/>
    <m/>
    <m/>
    <s v="TKSAL-001"/>
    <s v="Abnormal CR Movement"/>
    <x v="15"/>
    <m/>
    <s v="Operator"/>
    <s v="MA09-PG Adjustment [Setting 1]"/>
    <s v="During Internal Inspection"/>
    <m/>
    <m/>
    <s v="Still analize"/>
    <s v="During Initial Power On, Carriage Moving Abnormally"/>
    <s v="[{&quot;name&quot;:&quot;CR Scale UNpost_Nazar Bagus H..png&quot;,&quot;link&quot;:&quot;https://epsongroup-my.sharepoint.com/personal/brian_ramdhani_epson_co_id/Documents/Apps/Microsoft%20Forms/TAKATSU%20ANALYZE%20REPORT/Question/CR%20Scale%20UNpost_Nazar%20Bagus%20H..png&quot;,&quot;id&quot;:&quot;01D6UVHSJE4ZJADXOS7VELYRFJVDC2IE3G&quot;,&quot;type&quot;:null,&quot;size&quot;:4279923,&quot;referenceId&quot;:&quot;01D6UVHSOX5DG5RX522VGYFCV365U3UBU3&quot;,&quot;driveId&quot;:&quot;b!7qg8FsnQY0iiT36_x6Novv_3J9v4MtxPsytkCbb-ZPz3ScQFcxKeSqI2jw7AAtnZ&quot;,&quot;status&quot;:1,&quot;uploadSessionUrl&quot;:null}]"/>
    <m/>
    <s v="QEVeNLFlL0e5Zl1ALqxu2cgADO2g"/>
    <m/>
    <m/>
    <m/>
    <m/>
    <m/>
    <m/>
    <s v="Man :_x000a_Methode :_x000a_Materials :_x000a_Machine/Jig :"/>
    <s v="Abnormal CR Movement"/>
    <s v="Product Communication Error"/>
    <s v="Scale CR Cannot be detected by BAE CR"/>
    <s v="Scale CR Unpost"/>
    <s v="Assembly Problem (Product Assembly Wije)"/>
    <s v="1. Abnormal CR Movement_x000a_2. Product Communication Error_x000a_3. Scale CR Cannot be detected by BAE CR_x000a_4. Scale CR Unpost_x000a_5. Assembly Problem (Product Assembly Wije)"/>
    <s v="Scale CR Unpostition"/>
    <m/>
    <m/>
    <s v="Re Assy Scale CR in Line Product become OK"/>
    <s v="Nazar Bagus H."/>
  </r>
  <r>
    <s v="AR250407030705"/>
    <s v="RP250416084838"/>
    <x v="61"/>
    <d v="2025-04-16T00:00:00"/>
    <s v="Takatsu-4 Autocutter"/>
    <m/>
    <m/>
    <s v="TKSAL-013"/>
    <s v="Ink End Sensor NG"/>
    <x v="44"/>
    <m/>
    <s v="Operator"/>
    <s v="MA11-Discharge"/>
    <s v="During Discharge Process"/>
    <m/>
    <m/>
    <s v="Still analize "/>
    <s v="During end of ink discharge process, found Ink End Sensor Check NG"/>
    <s v="[{&quot;name&quot;:&quot;IES Check NG_Zainul Muttaqin 1.png&quot;,&quot;link&quot;:&quot;https://epsongroup-my.sharepoint.com/personal/brian_ramdhani_epson_co_id/Documents/Apps/Microsoft%20Forms/TAKATSU%20ANALYZE%20REPORT/Question/IES%20Check%20NG_Zainul%20Muttaqin%201.png&quot;,&quot;id&quot;:&quot;01D6UVHSMK2XVX5RVHZNHYHTPD6GVMTHUW&quot;,&quot;type&quot;:null,&quot;size&quot;:384117,&quot;referenceId&quot;:&quot;01D6UVHSOX5DG5RX522VGYFCV365U3UBU3&quot;,&quot;driveId&quot;:&quot;b!7qg8FsnQY0iiT36_x6Novv_3J9v4MtxPsytkCbb-ZPz3ScQFcxKeSqI2jw7AAtnZ&quot;,&quot;status&quot;:1,&quot;uploadSessionUrl&quot;:null}]"/>
    <m/>
    <s v="2Ly9a-O57k2PAIvzt3GG88gAAWEK"/>
    <m/>
    <m/>
    <m/>
    <m/>
    <m/>
    <m/>
    <s v="Man :_x000a_Methode :_x000a_Materials :_x000a_Machine/Jig :"/>
    <m/>
    <m/>
    <m/>
    <m/>
    <m/>
    <s v="1. _x000a_2. _x000a_3. _x000a_4. _x000a_5. "/>
    <s v="Retry 10 times become OK"/>
    <m/>
    <m/>
    <s v="Retry 10 times become OK, continue production"/>
    <s v="Zainul Muttaqin"/>
  </r>
  <r>
    <s v="AR250408095324"/>
    <s v="RP250408020931"/>
    <x v="62"/>
    <d v="2025-04-08T00:00:00"/>
    <s v="Takatsu-4 Autocutter"/>
    <m/>
    <m/>
    <s v="TKSAL-009"/>
    <s v="DMAV"/>
    <x v="8"/>
    <m/>
    <s v="Operator"/>
    <s v="MA10-Printing"/>
    <s v="During Printing INspection "/>
    <m/>
    <m/>
    <s v="Stil analize"/>
    <s v="During Initial Charge, Found DMAV on B4#30"/>
    <s v="[{&quot;name&quot;:&quot;DMAV 8 apr 25_Nazar Bagus H..jpg&quot;,&quot;link&quot;:&quot;https://epsongroup-my.sharepoint.com/personal/brian_ramdhani_epson_co_id/Documents/Apps/Microsoft%20Forms/TAKATSU%20ANALYZE%20REPORT/Question/DMAV%208%20apr%2025_Nazar%20Bagus%20H..jpg&quot;,&quot;id&quot;:&quot;01D6UVHSMCMD4LF4LJ2ZD2MDRS57WFYEPV&quot;,&quot;type&quot;:null,&quot;size&quot;:54272,&quot;referenceId&quot;:&quot;01D6UVHSOX5DG5RX522VGYFCV365U3UBU3&quot;,&quot;driveId&quot;:&quot;b!7qg8FsnQY0iiT36_x6Novv_3J9v4MtxPsytkCbb-ZPz3ScQFcxKeSqI2jw7AAtnZ&quot;,&quot;status&quot;:1,&quot;uploadSessionUrl&quot;:null}]"/>
    <m/>
    <s v="PVPnWl6nVki-bFutdMi358gAP9J0"/>
    <m/>
    <m/>
    <m/>
    <m/>
    <m/>
    <m/>
    <s v="Man :_x000a_Methode :_x000a_Materials :_x000a_Machine/Jig :"/>
    <m/>
    <m/>
    <m/>
    <m/>
    <m/>
    <s v="1. _x000a_2. _x000a_3. _x000a_4. _x000a_5. "/>
    <s v="Still Ananlyze"/>
    <m/>
    <m/>
    <s v="After Wiping, Become OK"/>
    <s v="Nazar Bagus H."/>
  </r>
  <r>
    <s v="AR250408105319"/>
    <s v="RP250421104749"/>
    <x v="62"/>
    <d v="2025-04-21T00:00:00"/>
    <s v="Takatsu-8 Autocutter"/>
    <m/>
    <m/>
    <s v="Air Leak "/>
    <s v="Air Leak Check NG [Y]"/>
    <x v="45"/>
    <m/>
    <s v="Operator"/>
    <s v="MA08-Internal"/>
    <s v="During Air Leak Check"/>
    <m/>
    <m/>
    <s v="Still analize"/>
    <s v="During Air Leak Check at Internal Stage, found Air Leak NG [Y]"/>
    <s v="[{&quot;name&quot;:&quot;Air Leak Check NG [Y]_1_Zainul Muttaqin.jpg&quot;,&quot;link&quot;:&quot;https://epsongroup-my.sharepoint.com/personal/brian_ramdhani_epson_co_id/Documents/Apps/Microsoft%20Forms/TAKATSU%20ANALYZE%20REPORT/Question/Air%20Leak%20Check%20NG%20%5BY%5D_1_Zainul%20Muttaqin.jpg&quot;,&quot;id&quot;:&quot;01D6UVHSPYI3FYEEVM2REJ6TRXUVRWXNRS&quot;,&quot;type&quot;:null,&quot;size&quot;:27782,&quot;referenceId&quot;:&quot;01D6UVHSOX5DG5RX522VGYFCV365U3UBU3&quot;,&quot;driveId&quot;:&quot;b!7qg8FsnQY0iiT36_x6Novv_3J9v4MtxPsytkCbb-ZPz3ScQFcxKeSqI2jw7AAtnZ&quot;,&quot;status&quot;:1,&quot;uploadSessionUrl&quot;:null}]"/>
    <m/>
    <s v="3UXCOD4NQ0yPS1g2WySlxsgAMcl1"/>
    <m/>
    <m/>
    <m/>
    <m/>
    <m/>
    <m/>
    <s v="Man :_x000a_Methode :_x000a_Materials :_x000a_Machine/Jig :"/>
    <s v="Air Leak Check NG [Y]"/>
    <s v="Missing Seal Duct Junction"/>
    <s v="Assembly defect by operator supply unit"/>
    <m/>
    <m/>
    <s v="1. Air Leak Check NG [Y]_x000a_2. Missing Seal Duct Junction_x000a_3. Assembly defect by operator supply unit_x000a_4. _x000a_5. "/>
    <s v="Missing seal Duct Junction"/>
    <m/>
    <m/>
    <s v="Reminding and retraining operator SA Supply Unit Takatsu, must be follow checkpoint on SWP"/>
    <s v="Zainul Muttaqin"/>
  </r>
  <r>
    <s v="AR250409090355"/>
    <s v="RP250409033153"/>
    <x v="63"/>
    <d v="2025-04-09T00:00:00"/>
    <s v="Takatsu-8 Autocutter"/>
    <m/>
    <m/>
    <s v="TKSAL-007"/>
    <s v="CSIC Check NG"/>
    <x v="46"/>
    <m/>
    <s v="Operator"/>
    <s v="MA13-External+Production 3"/>
    <s v="During External Inspection Check"/>
    <m/>
    <m/>
    <s v="Saat proses sensor cek"/>
    <s v="During CSIC check at Internal Stage, found CSIC Check NG All (BK/M/C/Y/MT)"/>
    <s v="[{&quot;name&quot;:&quot;CSIC Check NG_Zainul Muttaqin.jpg&quot;,&quot;link&quot;:&quot;https://epsongroup-my.sharepoint.com/personal/brian_ramdhani_epson_co_id/Documents/Apps/Microsoft%20Forms/TAKATSU%20ANALYZE%20REPORT/Question/CSIC%20Check%20NG_Zainul%20Muttaqin.jpg&quot;,&quot;id&quot;:&quot;01D6UVHSNGQXI4DBOUQ5BJ4YASTJFC6HRD&quot;,&quot;type&quot;:null,&quot;size&quot;:63444,&quot;referenceId&quot;:&quot;01D6UVHSOX5DG5RX522VGYFCV365U3UBU3&quot;,&quot;driveId&quot;:&quot;b!7qg8FsnQY0iiT36_x6Novv_3J9v4MtxPsytkCbb-ZPz3ScQFcxKeSqI2jw7AAtnZ&quot;,&quot;status&quot;:1,&quot;uploadSessionUrl&quot;:null}]"/>
    <m/>
    <s v="FF0E-wdiLEiX1tiWdycWQcgAIYN4"/>
    <m/>
    <m/>
    <m/>
    <m/>
    <m/>
    <m/>
    <s v="Man :_x000a_Methode :_x000a_Materials :_x000a_Machine/Jig :"/>
    <m/>
    <m/>
    <m/>
    <m/>
    <m/>
    <s v="1. _x000a_2. _x000a_3. _x000a_4. _x000a_5. "/>
    <s v="Reassy connection FFC CSIC become OK, monitoring this defect"/>
    <m/>
    <m/>
    <s v="Reassy connection FFC CSIC become OK, monitoring this defect"/>
    <s v="Zainul Muttaqin"/>
  </r>
  <r>
    <s v="AR250409024339"/>
    <s v="RP250410081010"/>
    <x v="63"/>
    <d v="2025-04-10T00:00:00"/>
    <s v="Takatsu-8 Autocutter"/>
    <m/>
    <m/>
    <s v="TKSAL-013"/>
    <s v="Ink End Sensor NG"/>
    <x v="47"/>
    <m/>
    <s v="Operator"/>
    <s v="MA10-Printing"/>
    <s v="During Discharge Check"/>
    <m/>
    <m/>
    <s v="Setelah selesai discharge"/>
    <s v="During end of discharge check in Discharge Stage, found IES Check NG"/>
    <s v="[{&quot;name&quot;:&quot;False Reject_Zainul Muttaqin 5.png&quot;,&quot;link&quot;:&quot;https://epsongroup-my.sharepoint.com/personal/brian_ramdhani_epson_co_id/Documents/Apps/Microsoft%20Forms/TAKATSU%20ANALYZE%20REPORT/Question/False%20Reject_Zainul%20Muttaqin%205.png&quot;,&quot;id&quot;:&quot;01D6UVHSJB4C4UTVXN4ZG2WOMHJ3ED2PYC&quot;,&quot;type&quot;:null,&quot;size&quot;:1313,&quot;referenceId&quot;:&quot;01D6UVHSOX5DG5RX522VGYFCV365U3UBU3&quot;,&quot;driveId&quot;:&quot;b!7qg8FsnQY0iiT36_x6Novv_3J9v4MtxPsytkCbb-ZPz3ScQFcxKeSqI2jw7AAtnZ&quot;,&quot;status&quot;:1,&quot;uploadSessionUrl&quot;:null}]"/>
    <m/>
    <s v="CQA-2-_aIkOmT5VG3WJLK8gABWVY"/>
    <m/>
    <m/>
    <m/>
    <m/>
    <m/>
    <m/>
    <s v="Man :_x000a_Methode :_x000a_Materials :_x000a_Machine/Jig :"/>
    <m/>
    <m/>
    <m/>
    <m/>
    <m/>
    <s v="1. _x000a_2. _x000a_3. _x000a_4. _x000a_5. "/>
    <s v="Retry 10x IES check become OK"/>
    <m/>
    <m/>
    <s v="Retry 10x IES check become OK"/>
    <s v="Zainul Muttaqin"/>
  </r>
  <r>
    <s v="AR250409052142"/>
    <s v="RP250410053032"/>
    <x v="63"/>
    <d v="2025-04-10T00:00:00"/>
    <s v="Takatsu-8 Autocutter"/>
    <m/>
    <m/>
    <s v="TKSFE-007"/>
    <s v="Fatal Error 5853"/>
    <x v="48"/>
    <m/>
    <s v="Operator"/>
    <s v="MA09-PG Adjustment [Setting 1]"/>
    <s v="During Internal Inspection"/>
    <m/>
    <m/>
    <s v="Setelah power on"/>
    <s v="After Initial Power On, Appear Fatal Error 5853 on Screen"/>
    <s v="[{&quot;name&quot;:&quot;False Reject_Nazar Bagus H. 13.PNG&quot;,&quot;link&quot;:&quot;https://epsongroup-my.sharepoint.com/personal/brian_ramdhani_epson_co_id/Documents/Apps/Microsoft%20Forms/TAKATSU%20ANALYZE%20REPORT/Question/False%20Reject_Nazar%20Bagus%20H.%2013.PNG&quot;,&quot;id&quot;:&quot;01D6UVHSPMFFEDWVIEDFDKQBIVJR7QHCCS&quot;,&quot;type&quot;:null,&quot;size&quot;:1313,&quot;referenceId&quot;:&quot;01D6UVHSOX5DG5RX522VGYFCV365U3UBU3&quot;,&quot;driveId&quot;:&quot;b!7qg8FsnQY0iiT36_x6Novv_3J9v4MtxPsytkCbb-ZPz3ScQFcxKeSqI2jw7AAtnZ&quot;,&quot;status&quot;:1,&quot;uploadSessionUrl&quot;:null}]"/>
    <m/>
    <s v="yaLqWEx_EU-4xw3UdHGRj8gAFaXc"/>
    <m/>
    <m/>
    <m/>
    <m/>
    <m/>
    <m/>
    <s v="Man :_x000a_Methode :_x000a_Materials :_x000a_Machine/Jig :"/>
    <m/>
    <m/>
    <m/>
    <m/>
    <m/>
    <s v="1. _x000a_2. _x000a_3. _x000a_4. _x000a_5. "/>
    <s v="False Reject"/>
    <m/>
    <m/>
    <s v="After Re-Assy FFC SUB, Product Become OK"/>
    <s v="Nazar Bagus H."/>
  </r>
  <r>
    <s v="AR250410015110"/>
    <s v="RP250416091941"/>
    <x v="64"/>
    <d v="2025-04-16T00:00:00"/>
    <s v="Takatsu-8 Autocutter"/>
    <m/>
    <m/>
    <s v="Fatal Err"/>
    <s v="Fatal Error 300105"/>
    <x v="49"/>
    <m/>
    <s v="Operator"/>
    <s v="MA09-PG Adjustment [Setting 1]"/>
    <s v="During SD Card Check in PG Stage"/>
    <m/>
    <m/>
    <s v="Setelah cek SD card"/>
    <s v="After SD card check at PG Stge, found Fatal Error 300105"/>
    <s v="[{&quot;name&quot;:&quot;FE 300105_Zainul Muttaqin.png&quot;,&quot;link&quot;:&quot;https://epsongroup-my.sharepoint.com/personal/brian_ramdhani_epson_co_id/Documents/Apps/Microsoft%20Forms/TAKATSU%20ANALYZE%20REPORT/Question/FE%20300105_Zainul%20Muttaqin.png&quot;,&quot;id&quot;:&quot;01D6UVHSPBYZQUYYS3HZGLQL5DDMFKEYXF&quot;,&quot;type&quot;:null,&quot;size&quot;:1675,&quot;referenceId&quot;:&quot;01D6UVHSOX5DG5RX522VGYFCV365U3UBU3&quot;,&quot;driveId&quot;:&quot;b!7qg8FsnQY0iiT36_x6Novv_3J9v4MtxPsytkCbb-ZPz3ScQFcxKeSqI2jw7AAtnZ&quot;,&quot;status&quot;:1,&quot;uploadSessionUrl&quot;:null}]"/>
    <m/>
    <s v="JQyvN-MYjke5ofWNkDJ-tsgAB_sQ"/>
    <m/>
    <m/>
    <m/>
    <m/>
    <m/>
    <m/>
    <s v="Man :_x000a_Methode :_x000a_Materials :_x000a_Machine/Jig :"/>
    <m/>
    <m/>
    <m/>
    <m/>
    <m/>
    <s v="1. _x000a_2. _x000a_3. _x000a_4. _x000a_5. "/>
    <s v="Possibility SD card problem"/>
    <m/>
    <m/>
    <s v="Change SD card become OK"/>
    <s v="Zainul Muttaqin"/>
  </r>
  <r>
    <s v="AR250410024935"/>
    <s v="RP250416090839"/>
    <x v="64"/>
    <d v="2025-04-16T00:00:00"/>
    <s v="Takatsu-8 Autocutter"/>
    <m/>
    <m/>
    <s v="TKSAL-009"/>
    <s v="DMAV"/>
    <x v="8"/>
    <m/>
    <s v="Operator"/>
    <s v="MA10-Printing"/>
    <s v="During Check Result Printing"/>
    <m/>
    <m/>
    <s v="Jig 01"/>
    <s v="After ink charge process at printing stage, found DMAV on printing result"/>
    <s v="[{&quot;name&quot;:&quot;DMAV_Zainul Muttaqin.jpg&quot;,&quot;link&quot;:&quot;https://epsongroup-my.sharepoint.com/personal/brian_ramdhani_epson_co_id/Documents/Apps/Microsoft%20Forms/TAKATSU%20ANALYZE%20REPORT/Question/DMAV_Zainul%20Muttaqin.jpg&quot;,&quot;id&quot;:&quot;01D6UVHSKH6VE5HCDHBNHYZUUZ6K27UAVL&quot;,&quot;type&quot;:null,&quot;size&quot;:130651,&quot;referenceId&quot;:&quot;01D6UVHSOX5DG5RX522VGYFCV365U3UBU3&quot;,&quot;driveId&quot;:&quot;b!7qg8FsnQY0iiT36_x6Novv_3J9v4MtxPsytkCbb-ZPz3ScQFcxKeSqI2jw7AAtnZ&quot;,&quot;status&quot;:1,&quot;uploadSessionUrl&quot;:null}]"/>
    <m/>
    <s v="xBoAuti7ZkmbUWG-Pixd_cgAC8Yn"/>
    <m/>
    <m/>
    <m/>
    <m/>
    <m/>
    <m/>
    <s v="Man :_x000a_Methode :_x000a_Materials :_x000a_Machine/Jig :"/>
    <m/>
    <m/>
    <m/>
    <m/>
    <m/>
    <s v="1. _x000a_2. _x000a_3. _x000a_4. _x000a_5. "/>
    <s v="F/M located on areas outside PH"/>
    <m/>
    <m/>
    <s v="Wiping surface PH, retry in line"/>
    <s v="Zainul Muttaqin"/>
  </r>
  <r>
    <s v="AR250411093910"/>
    <s v="RP250416090323"/>
    <x v="65"/>
    <d v="2025-04-16T00:00:00"/>
    <s v="Takatsu-4D Peeler"/>
    <m/>
    <m/>
    <s v="TKSAL-010"/>
    <s v="DO"/>
    <x v="2"/>
    <m/>
    <s v="Operator"/>
    <s v="MA10-Printing"/>
    <s v="During Check Result Printing"/>
    <m/>
    <m/>
    <s v="Jig 06"/>
    <s v="After ink charge process at printing stage, found DO on printing result"/>
    <s v="[{&quot;name&quot;:&quot;Dot Omission_1_Zainul Muttaqin.jpg&quot;,&quot;link&quot;:&quot;https://epsongroup-my.sharepoint.com/personal/brian_ramdhani_epson_co_id/Documents/Apps/Microsoft%20Forms/TAKATSU%20ANALYZE%20REPORT/Question/Dot%20Omission_1_Zainul%20Muttaqin.jpg&quot;,&quot;id&quot;:&quot;01D6UVHSMPQ5D3WITJ3RDLHF57E75PHYPD&quot;,&quot;type&quot;:null,&quot;size&quot;:130651,&quot;referenceId&quot;:&quot;01D6UVHSOX5DG5RX522VGYFCV365U3UBU3&quot;,&quot;driveId&quot;:&quot;b!7qg8FsnQY0iiT36_x6Novv_3J9v4MtxPsytkCbb-ZPz3ScQFcxKeSqI2jw7AAtnZ&quot;,&quot;status&quot;:1,&quot;uploadSessionUrl&quot;:null}]"/>
    <m/>
    <s v="e1OD78oYmEW97V_dFRIqoMgAHABt"/>
    <m/>
    <m/>
    <m/>
    <m/>
    <m/>
    <m/>
    <s v="Man :_x000a_Methode :_x000a_Materials :_x000a_Machine/Jig :"/>
    <m/>
    <m/>
    <m/>
    <m/>
    <m/>
    <s v="1. _x000a_2. _x000a_3. _x000a_4. _x000a_5. "/>
    <s v="F/M located on areas inside PH"/>
    <m/>
    <m/>
    <s v="Wiping surface PH, retry in line"/>
    <s v="Zainul Muttaqin"/>
  </r>
  <r>
    <s v="AR250414084728"/>
    <s v="RP250414110057"/>
    <x v="66"/>
    <d v="2025-04-14T00:00:00"/>
    <s v="Takatsu-4 Autocutter"/>
    <m/>
    <m/>
    <s v="Slack Sen"/>
    <s v="Slack Sensor Check NG"/>
    <x v="50"/>
    <m/>
    <s v="Operator"/>
    <s v="MA09-PG Adjustment [Setting 1]"/>
    <s v="During Setting 2 [PG Stage] Inspection"/>
    <m/>
    <m/>
    <s v="Saat proses pg"/>
    <s v="During inspection setting 1 in PG Stage, found slack sensor NG"/>
    <s v="[{&quot;name&quot;:&quot;Slack Sensor Check NG_Zainul Muttaqin.jpg&quot;,&quot;link&quot;:&quot;https://epsongroup-my.sharepoint.com/personal/brian_ramdhani_epson_co_id/Documents/Apps/Microsoft%20Forms/TAKATSU%20ANALYZE%20REPORT/Question/Slack%20Sensor%20Check%20NG_Zainul%20Muttaqin.jpg&quot;,&quot;id&quot;:&quot;01D6UVHSKCPYFGNZQAOZDLXM334SMADP5K&quot;,&quot;type&quot;:null,&quot;size&quot;:31302,&quot;referenceId&quot;:&quot;01D6UVHSOX5DG5RX522VGYFCV365U3UBU3&quot;,&quot;driveId&quot;:&quot;b!7qg8FsnQY0iiT36_x6Novv_3J9v4MtxPsytkCbb-ZPz3ScQFcxKeSqI2jw7AAtnZ&quot;,&quot;status&quot;:1,&quot;uploadSessionUrl&quot;:null}]"/>
    <m/>
    <s v="zEhjgzgk6E-pDql5wfgmE8gAAm6t"/>
    <m/>
    <m/>
    <m/>
    <m/>
    <m/>
    <m/>
    <s v="Man :_x000a_Methode :_x000a_Materials :_x000a_Machine/Jig :"/>
    <s v="Slack Sensor Check NG"/>
    <s v="Harness detector was broken"/>
    <s v="Assembly defect by operator stage"/>
    <m/>
    <m/>
    <s v="1. Slack Sensor Check NG_x000a_2. Harness detector was broken_x000a_3. Assembly defect by operator stage_x000a_4. _x000a_5. "/>
    <s v="Harness detector was broken"/>
    <m/>
    <m/>
    <s v="Reinding and retraining operator related stage, must be follow checkpoint such as there on SWP"/>
    <s v="Zainul Muttaqin"/>
  </r>
  <r>
    <s v="AR250414031745"/>
    <s v="RP250416074334"/>
    <x v="66"/>
    <d v="2025-04-16T00:00:00"/>
    <s v="Takatsu-8 Autocutter"/>
    <m/>
    <m/>
    <s v="TKSAL-008"/>
    <s v="DMAH"/>
    <x v="3"/>
    <m/>
    <s v="Operator"/>
    <s v="MA10-Printing"/>
    <s v="During Printing Inspection"/>
    <m/>
    <m/>
    <s v="Jig 06"/>
    <s v="During Initial Charge, Found DMAH on Result Printing"/>
    <s v="[{&quot;name&quot;:&quot;False Reject_Nazar Bagus H. 14.PNG&quot;,&quot;link&quot;:&quot;https://epsongroup-my.sharepoint.com/personal/brian_ramdhani_epson_co_id/Documents/Apps/Microsoft%20Forms/TAKATSU%20ANALYZE%20REPORT/Question/False%20Reject_Nazar%20Bagus%20H.%2014.PNG&quot;,&quot;id&quot;:&quot;01D6UVHSJEVVB5UUIARVFIG5POKJDY6FGN&quot;,&quot;type&quot;:null,&quot;size&quot;:1313,&quot;referenceId&quot;:&quot;01D6UVHSOX5DG5RX522VGYFCV365U3UBU3&quot;,&quot;driveId&quot;:&quot;b!7qg8FsnQY0iiT36_x6Novv_3J9v4MtxPsytkCbb-ZPz3ScQFcxKeSqI2jw7AAtnZ&quot;,&quot;status&quot;:1,&quot;uploadSessionUrl&quot;:null}]"/>
    <m/>
    <s v="5fa9TeVPlEOHv_fDbyZgPMgAKwHI"/>
    <m/>
    <m/>
    <m/>
    <m/>
    <m/>
    <m/>
    <s v="Man :_x000a_Methode :_x000a_Materials :_x000a_Machine/Jig :"/>
    <m/>
    <m/>
    <m/>
    <m/>
    <m/>
    <s v="1. _x000a_2. _x000a_3. _x000a_4. _x000a_5. "/>
    <s v="Possibility any Foreign Material on PH"/>
    <m/>
    <m/>
    <s v="Wiping and Vacuum PH in Repair OK"/>
    <s v="Nazar Bagus H."/>
  </r>
  <r>
    <s v="AR250414050943"/>
    <s v="RP250415071623"/>
    <x v="66"/>
    <d v="2025-04-15T00:00:00"/>
    <s v="Takatsu-8 Autocutter"/>
    <m/>
    <m/>
    <s v="TKSAL-008"/>
    <s v="DMAH"/>
    <x v="3"/>
    <m/>
    <s v="Operator"/>
    <s v="MA10-Printing"/>
    <s v="Diring Check Result Printing"/>
    <m/>
    <m/>
    <s v="Jig 8"/>
    <s v="During printing check after Ink Charge in Printing Stage, found the result printing was DMAH"/>
    <s v="[{&quot;name&quot;:&quot;20250415_131348_Zainul Muttaqin 1.jpg&quot;,&quot;link&quot;:&quot;https://epsongroup-my.sharepoint.com/personal/brian_ramdhani_epson_co_id/Documents/Apps/Microsoft%20Forms/TAKATSU%20ANALYZE%20REPORT/Question/20250415_131348_Zainul%20Muttaqin%201.jpg&quot;,&quot;id&quot;:&quot;01D6UVHSOBCI6AJXRLQRHL2X4KAVCENBEN&quot;,&quot;type&quot;:null,&quot;size&quot;:2040549,&quot;referenceId&quot;:&quot;01D6UVHSOX5DG5RX522VGYFCV365U3UBU3&quot;,&quot;driveId&quot;:&quot;b!7qg8FsnQY0iiT36_x6Novv_3J9v4MtxPsytkCbb-ZPz3ScQFcxKeSqI2jw7AAtnZ&quot;,&quot;status&quot;:1,&quot;uploadSessionUrl&quot;:null}]"/>
    <m/>
    <s v="Tm3YbgZFl0a0EueQAr91N8gAC7r9"/>
    <m/>
    <m/>
    <m/>
    <m/>
    <m/>
    <m/>
    <s v="Man :_x000a_Methode :_x000a_Materials :_x000a_Machine/Jig :"/>
    <m/>
    <m/>
    <m/>
    <m/>
    <m/>
    <s v="1. _x000a_2. _x000a_3. _x000a_4. _x000a_5. "/>
    <s v="F/M on outside area PH"/>
    <m/>
    <m/>
    <s v="Try to wiping PH"/>
    <s v="Zainul Muttaqin"/>
  </r>
  <r>
    <s v="AR250415072553"/>
    <s v="RP250415071254"/>
    <x v="67"/>
    <d v="2025-04-15T00:00:00"/>
    <s v="Takatsu-8 Autocutter"/>
    <m/>
    <m/>
    <s v="TKSAL-008"/>
    <s v="DMAH"/>
    <x v="3"/>
    <m/>
    <s v="Operator"/>
    <s v="MA10-Printing"/>
    <s v="Diring Check Result Printing"/>
    <m/>
    <m/>
    <s v="Jig 08"/>
    <s v="During printing check after Ink Charge in Printing Stage, found the result printing was DMAH"/>
    <s v="[{&quot;name&quot;:&quot;20250415_131348_Zainul Muttaqin.jpg&quot;,&quot;link&quot;:&quot;https://epsongroup-my.sharepoint.com/personal/brian_ramdhani_epson_co_id/Documents/Apps/Microsoft%20Forms/TAKATSU%20ANALYZE%20REPORT/Question/20250415_131348_Zainul%20Muttaqin.jpg&quot;,&quot;id&quot;:&quot;01D6UVHSMBU2I3LD5BMFHLIMJTV5Q32ULJ&quot;,&quot;type&quot;:null,&quot;size&quot;:2040549,&quot;referenceId&quot;:&quot;01D6UVHSOX5DG5RX522VGYFCV365U3UBU3&quot;,&quot;driveId&quot;:&quot;b!7qg8FsnQY0iiT36_x6Novv_3J9v4MtxPsytkCbb-ZPz3ScQFcxKeSqI2jw7AAtnZ&quot;,&quot;status&quot;:1,&quot;uploadSessionUrl&quot;:null}]"/>
    <m/>
    <s v="bXSPOfE4XEi__Cb9w_ad1MgADtgl"/>
    <m/>
    <m/>
    <m/>
    <m/>
    <m/>
    <m/>
    <s v="Man :_x000a_Methode :_x000a_Materials :_x000a_Machine/Jig :"/>
    <m/>
    <m/>
    <m/>
    <m/>
    <m/>
    <s v="1. _x000a_2. _x000a_3. _x000a_4. _x000a_5. "/>
    <s v="F/M on outside area PH"/>
    <m/>
    <m/>
    <s v="After wiping 3 times become OK, continue production"/>
    <s v="Zainul Muttaqin"/>
  </r>
  <r>
    <s v="AR250415080207"/>
    <s v="RP250415070622"/>
    <x v="67"/>
    <d v="2025-04-15T00:00:00"/>
    <s v="Takatsu-8 Autocutter"/>
    <m/>
    <m/>
    <s v="TKSAL-030"/>
    <s v="Abnormal Panel"/>
    <x v="51"/>
    <m/>
    <s v="Operator"/>
    <s v="MA10-Printing"/>
    <s v="During Inspection in PG Stage"/>
    <m/>
    <m/>
    <s v="Saat proses ink charge"/>
    <s v="During initialize power ON in PG Stage, found indicator lamp was off"/>
    <s v="[{&quot;name&quot;:&quot;20250415_095426_Zainul Muttaqin.jpg&quot;,&quot;link&quot;:&quot;https://epsongroup-my.sharepoint.com/personal/brian_ramdhani_epson_co_id/Documents/Apps/Microsoft%20Forms/TAKATSU%20ANALYZE%20REPORT/Question/20250415_095426_Zainul%20Muttaqin.jpg&quot;,&quot;id&quot;:&quot;01D6UVHSJBM2JRA7SNQFC2W6Y4CXBU2ML4&quot;,&quot;type&quot;:null,&quot;size&quot;:2336067,&quot;referenceId&quot;:&quot;01D6UVHSOX5DG5RX522VGYFCV365U3UBU3&quot;,&quot;driveId&quot;:&quot;b!7qg8FsnQY0iiT36_x6Novv_3J9v4MtxPsytkCbb-ZPz3ScQFcxKeSqI2jw7AAtnZ&quot;,&quot;status&quot;:1,&quot;uploadSessionUrl&quot;:null}]"/>
    <m/>
    <s v="5TOldkhn70Oe-U7h2oyj4cgAAIG-"/>
    <m/>
    <m/>
    <m/>
    <m/>
    <m/>
    <m/>
    <s v="Man :_x000a_Methode :_x000a_Materials :_x000a_Machine/Jig :"/>
    <m/>
    <m/>
    <m/>
    <m/>
    <m/>
    <s v="1. _x000a_2. _x000a_3. _x000a_4. _x000a_5. "/>
    <s v="Direct cause Panel Unit NG, still analyze"/>
    <m/>
    <m/>
    <s v="Change panel become OK"/>
    <s v="Zainul Muttaqin"/>
  </r>
  <r>
    <s v="AR250416074630"/>
    <s v="RP250416021618"/>
    <x v="68"/>
    <d v="2025-04-16T00:00:00"/>
    <s v="Takatsu-8 Autocutter"/>
    <m/>
    <m/>
    <s v="TKSFE-007"/>
    <s v="Fatal Error 5853"/>
    <x v="52"/>
    <m/>
    <s v="Operator"/>
    <s v="MA10-Printing"/>
    <s v="After CID printing at Printing Stage"/>
    <m/>
    <m/>
    <s v="Saat proses calibrasi"/>
    <s v="After process printing CID in Printing Stage, found Fatal Error 5853"/>
    <s v="[{&quot;name&quot;:&quot;Fatal Error 5853_Zainul Muttaqin.jpg&quot;,&quot;link&quot;:&quot;https://epsongroup-my.sharepoint.com/personal/brian_ramdhani_epson_co_id/Documents/Apps/Microsoft%20Forms/TAKATSU%20ANALYZE%20REPORT/Question/Fatal%20Error%205853_Zainul%20Muttaqin.jpg&quot;,&quot;id&quot;:&quot;01D6UVHSNC4NED23BKAFB3JD7TVGYU3N6U&quot;,&quot;type&quot;:null,&quot;size&quot;:7866,&quot;referenceId&quot;:&quot;01D6UVHSOX5DG5RX522VGYFCV365U3UBU3&quot;,&quot;driveId&quot;:&quot;b!7qg8FsnQY0iiT36_x6Novv_3J9v4MtxPsytkCbb-ZPz3ScQFcxKeSqI2jw7AAtnZ&quot;,&quot;status&quot;:1,&quot;uploadSessionUrl&quot;:null}]"/>
    <m/>
    <s v="HAH0rIw1Bkq5V-uJjaR4r8gAM9xI"/>
    <m/>
    <m/>
    <m/>
    <m/>
    <m/>
    <m/>
    <s v="Man :_x000a_Methode :_x000a_Materials :_x000a_Machine/Jig :"/>
    <m/>
    <m/>
    <m/>
    <m/>
    <m/>
    <s v="1. _x000a_2. _x000a_3. _x000a_4. _x000a_5. "/>
    <s v="Fatal Error 5853 --&gt; Retry pressure pump check, printing all menu become OK"/>
    <m/>
    <m/>
    <s v="Retry pressure pump check, printing all menu become OK, continue production"/>
    <s v="Zainul Muttaqin"/>
  </r>
  <r>
    <s v="AR250416015516"/>
    <s v="RP250416021935"/>
    <x v="68"/>
    <d v="2025-04-16T00:00:00"/>
    <s v="Takatsu-8 Autocutter"/>
    <m/>
    <m/>
    <s v="TKSAL-010"/>
    <s v="DO"/>
    <x v="2"/>
    <m/>
    <s v="Operator"/>
    <s v="MA10-Printing"/>
    <s v="During Check Result Printing"/>
    <m/>
    <m/>
    <s v="Jig 07"/>
    <s v="After ink charge process at printing stage, found DO on printing result"/>
    <s v="[{&quot;name&quot;:&quot;Dot Omission_1_Zainul Muttaqin 1.jpg&quot;,&quot;link&quot;:&quot;https://epsongroup-my.sharepoint.com/personal/brian_ramdhani_epson_co_id/Documents/Apps/Microsoft%20Forms/TAKATSU%20ANALYZE%20REPORT/Question/Dot%20Omission_1_Zainul%20Muttaqin%201.jpg&quot;,&quot;id&quot;:&quot;01D6UVHSJEI3T5ZH45WVCZZC6XEADPFZQR&quot;,&quot;type&quot;:null,&quot;size&quot;:130651,&quot;referenceId&quot;:&quot;01D6UVHSOX5DG5RX522VGYFCV365U3UBU3&quot;,&quot;driveId&quot;:&quot;b!7qg8FsnQY0iiT36_x6Novv_3J9v4MtxPsytkCbb-ZPz3ScQFcxKeSqI2jw7AAtnZ&quot;,&quot;status&quot;:1,&quot;uploadSessionUrl&quot;:null}]"/>
    <m/>
    <s v="dT-cojOnek-BzotwyYjnTcgAKugt"/>
    <m/>
    <m/>
    <m/>
    <m/>
    <m/>
    <m/>
    <s v="Man :_x000a_Methode :_x000a_Materials :_x000a_Machine/Jig :"/>
    <m/>
    <m/>
    <m/>
    <m/>
    <m/>
    <s v="1. _x000a_2. _x000a_3. _x000a_4. _x000a_5. "/>
    <s v="Suspect F/M located on areas inside PH"/>
    <m/>
    <m/>
    <s v="Wiping PH first rate in repair, and re-check at Printing Stage"/>
    <s v="Zainul Muttaqin"/>
  </r>
  <r>
    <s v="AR250421083239"/>
    <s v="RP250423015052"/>
    <x v="69"/>
    <d v="2025-04-23T00:00:00"/>
    <s v="Takatsu-4 Autocutter"/>
    <m/>
    <m/>
    <s v="Ink Cartr"/>
    <s v="Ink Cartridge Cannot Recognize"/>
    <x v="53"/>
    <m/>
    <s v="Operator"/>
    <s v="MA12-Casing"/>
    <s v="During External Inspection"/>
    <m/>
    <m/>
    <s v="Setelah pasang dummy ic"/>
    <s v="During initialize power ON product at External Stage, found I/C cannot recognize"/>
    <s v="[{&quot;name&quot;:&quot;IC cannot recognize_Zainul Muttaqin.jpg&quot;,&quot;link&quot;:&quot;https://epsongroup-my.sharepoint.com/personal/brian_ramdhani_epson_co_id/Documents/Apps/Microsoft%20Forms/TAKATSU%20ANALYZE%20REPORT/Question/IC%20cannot%20recognize_Zainul%20Muttaqin.jpg&quot;,&quot;id&quot;:&quot;01D6UVHSOABDDCC3RVRVC34AVMO4H76554&quot;,&quot;type&quot;:null,&quot;size&quot;:56281,&quot;referenceId&quot;:&quot;01D6UVHSOX5DG5RX522VGYFCV365U3UBU3&quot;,&quot;driveId&quot;:&quot;b!7qg8FsnQY0iiT36_x6Novv_3J9v4MtxPsytkCbb-ZPz3ScQFcxKeSqI2jw7AAtnZ&quot;,&quot;status&quot;:1,&quot;uploadSessionUrl&quot;:null}]"/>
    <m/>
    <s v="EFmDu2rRBEirLRCKUHYNOsgAEkG9"/>
    <m/>
    <m/>
    <s v="No Changes"/>
    <s v="No Changes"/>
    <s v="No Changes"/>
    <s v="No Changes"/>
    <s v="Man :No Changes_x000a_Methode :No Changes_x000a_Materials :No Changes_x000a_Machine/Jig :No Changes"/>
    <s v="I/C Cannot Recognize"/>
    <s v="FFC CSIC peeled off"/>
    <s v="Possibility mistake method assembly by operator"/>
    <m/>
    <m/>
    <s v="1. I/C Cannot Recognize_x000a_2. FFC CSIC peeled off_x000a_3. Possibility mistake method assembly by operator_x000a_4. _x000a_5. "/>
    <s v="FFC CSIC was peeled off"/>
    <m/>
    <m/>
    <s v="Retraining and reminding operator related stage must be carefully during install and connect. Must be follow checkpoint on SWP."/>
    <s v="Zainul Muttaqin"/>
  </r>
  <r>
    <s v="AR250422105231"/>
    <s v="RP250422022028"/>
    <x v="70"/>
    <d v="2025-04-22T00:00:00"/>
    <s v="Takatsu-8 Autocutter"/>
    <m/>
    <m/>
    <s v="TKSAL-010"/>
    <s v="DO"/>
    <x v="2"/>
    <m/>
    <s v="Operator"/>
    <s v="MA10-Printing"/>
    <s v="During Printing Inspection"/>
    <m/>
    <m/>
    <s v="Jig 06"/>
    <s v="During Initial Ink Charge, Found Ot Omission on Printing Result"/>
    <s v="[{&quot;name&quot;:&quot;False Reject_Nazar Bagus H. 15.PNG&quot;,&quot;link&quot;:&quot;https://epsongroup-my.sharepoint.com/personal/brian_ramdhani_epson_co_id/Documents/Apps/Microsoft%20Forms/TAKATSU%20ANALYZE%20REPORT/Question/False%20Reject_Nazar%20Bagus%20H.%2015.PNG&quot;,&quot;id&quot;:&quot;01D6UVHSPK3Z6KRUAHJBHKRC63FOLWQEG5&quot;,&quot;type&quot;:null,&quot;size&quot;:1313,&quot;referenceId&quot;:&quot;01D6UVHSOX5DG5RX522VGYFCV365U3UBU3&quot;,&quot;driveId&quot;:&quot;b!7qg8FsnQY0iiT36_x6Novv_3J9v4MtxPsytkCbb-ZPz3ScQFcxKeSqI2jw7AAtnZ&quot;,&quot;status&quot;:1,&quot;uploadSessionUrl&quot;:null}]"/>
    <m/>
    <s v="WHfeUQTUBkq3u0W7MoRk98gAA5If"/>
    <m/>
    <m/>
    <m/>
    <m/>
    <m/>
    <m/>
    <s v="Man :_x000a_Methode :_x000a_Materials :_x000a_Machine/Jig :"/>
    <m/>
    <m/>
    <m/>
    <m/>
    <m/>
    <s v="1. _x000a_2. _x000a_3. _x000a_4. _x000a_5. "/>
    <s v="False Reject, After Initial Charge again, Product become OK"/>
    <m/>
    <m/>
    <s v="Re Initial Charge in Line OK"/>
    <s v="Nazar Bagus H."/>
  </r>
  <r>
    <s v="AR250422121333"/>
    <s v="RP250423012833"/>
    <x v="70"/>
    <d v="2025-04-23T00:00:00"/>
    <s v="Takatsu-8 Autocutter"/>
    <m/>
    <m/>
    <s v="TKSAL-009"/>
    <s v="DMAV"/>
    <x v="8"/>
    <m/>
    <s v="Operator"/>
    <s v="MA10-Printing"/>
    <s v="During Printing Inspection"/>
    <m/>
    <m/>
    <s v="JIG 01"/>
    <s v="During Initial Ink Charge, Found DMAV on Printing Result"/>
    <s v="[{&quot;name&quot;:&quot;False Reject_Nazar Bagus H. 16.PNG&quot;,&quot;link&quot;:&quot;https://epsongroup-my.sharepoint.com/personal/brian_ramdhani_epson_co_id/Documents/Apps/Microsoft%20Forms/TAKATSU%20ANALYZE%20REPORT/Question/False%20Reject_Nazar%20Bagus%20H.%2016.PNG&quot;,&quot;id&quot;:&quot;01D6UVHSK2ZLGOCG63VFDJSU2F7X4VNBG2&quot;,&quot;type&quot;:null,&quot;size&quot;:1313,&quot;referenceId&quot;:&quot;01D6UVHSOX5DG5RX522VGYFCV365U3UBU3&quot;,&quot;driveId&quot;:&quot;b!7qg8FsnQY0iiT36_x6Novv_3J9v4MtxPsytkCbb-ZPz3ScQFcxKeSqI2jw7AAtnZ&quot;,&quot;status&quot;:1,&quot;uploadSessionUrl&quot;:null}]"/>
    <m/>
    <s v="BUvvxW-T90i4iKEPiHMSZsgAJZju"/>
    <m/>
    <m/>
    <m/>
    <m/>
    <m/>
    <m/>
    <s v="Man :_x000a_Methode :_x000a_Materials :_x000a_Machine/Jig :"/>
    <m/>
    <m/>
    <m/>
    <m/>
    <m/>
    <s v="1. _x000a_2. _x000a_3. _x000a_4. _x000a_5. "/>
    <s v="False Reject, After Wiping PH, Product become OK"/>
    <m/>
    <m/>
    <s v="Re Initial Charge in Line OK"/>
    <s v="Nazar Bagus H."/>
  </r>
  <r>
    <s v="AR250423073852"/>
    <s v="RP250424040357"/>
    <x v="71"/>
    <d v="2025-04-24T00:00:00"/>
    <s v="Takatsu-8 Autocutter"/>
    <m/>
    <m/>
    <s v="PAPER END"/>
    <s v="PAPER END SENSOR NG"/>
    <x v="54"/>
    <m/>
    <s v="Operator"/>
    <s v="MA13-External+Production 3"/>
    <s v="During External Inspection"/>
    <m/>
    <m/>
    <s v="Proses cek sensor"/>
    <s v="During external inspection at External stage found paper end sensor detected NG"/>
    <s v="[{&quot;name&quot;:&quot;Picture1_Muhammad Dzaki Taufi.png&quot;,&quot;link&quot;:&quot;https://epsongroup-my.sharepoint.com/personal/brian_ramdhani_epson_co_id/Documents/Apps/Microsoft%20Forms/TAKATSU%20ANALYZE%20REPORT/Question/Picture1_Muhammad%20Dzaki%20Taufi.png&quot;,&quot;id&quot;:&quot;01D6UVHSOBG2KADYDOKZBJHK2JDVDMJAFZ&quot;,&quot;type&quot;:null,&quot;size&quot;:967995,&quot;referenceId&quot;:&quot;01D6UVHSOX5DG5RX522VGYFCV365U3UBU3&quot;,&quot;driveId&quot;:&quot;b!7qg8FsnQY0iiT36_x6Novv_3J9v4MtxPsytkCbb-ZPz3ScQFcxKeSqI2jw7AAtnZ&quot;,&quot;status&quot;:1,&quot;uploadSessionUrl&quot;:null}]"/>
    <m/>
    <s v="3Lp3CPtwLkKRi3sKd1-HWMgAFmV0"/>
    <m/>
    <m/>
    <m/>
    <m/>
    <m/>
    <m/>
    <s v="Man :_x000a_Methode :_x000a_Materials :_x000a_Machine/Jig :"/>
    <m/>
    <m/>
    <m/>
    <m/>
    <m/>
    <s v="1. _x000a_2. _x000a_3. _x000a_4. _x000a_5. "/>
    <s v="Spring NG [Spring's corner is NG]"/>
    <m/>
    <m/>
    <s v="Segregate Stock PGU Unit (level assy) 0/12 not found NG, Segregate Spring (level part) not found NG"/>
    <s v="Muhammad Dzaki Taufiqurrahman Kismana"/>
  </r>
  <r>
    <s v="AR250424115603"/>
    <s v="RP250429070111"/>
    <x v="72"/>
    <d v="2025-04-29T00:00:00"/>
    <s v="Takatsu-8 Autocutter"/>
    <m/>
    <m/>
    <s v="TKSAL-017"/>
    <s v="Paper Jam"/>
    <x v="55"/>
    <m/>
    <s v="Operator"/>
    <s v="MA10-Printing"/>
    <s v="DUring Printing Process"/>
    <m/>
    <m/>
    <s v="Saat print calibrasi"/>
    <s v="During Initial Paper Loading, found Paper Stuck into Auto Cutter"/>
    <s v="[{&quot;name&quot;:&quot;Paper Jam Auto Cutter_Nazar Bagus H. 1.jpg&quot;,&quot;link&quot;:&quot;https://epsongroup-my.sharepoint.com/personal/brian_ramdhani_epson_co_id/Documents/Apps/Microsoft%20Forms/TAKATSU%20ANALYZE%20REPORT/Question/Paper%20Jam%20Auto%20Cutter_Nazar%20Bagus%20H.%201.jpg&quot;,&quot;id&quot;:&quot;01D6UVHSLTNYOKMGYZCZBJQONESXNG4J5D&quot;,&quot;type&quot;:null,&quot;size&quot;:82435,&quot;referenceId&quot;:&quot;01D6UVHSOX5DG5RX522VGYFCV365U3UBU3&quot;,&quot;driveId&quot;:&quot;b!7qg8FsnQY0iiT36_x6Novv_3J9v4MtxPsytkCbb-ZPz3ScQFcxKeSqI2jw7AAtnZ&quot;,&quot;status&quot;:1,&quot;uploadSessionUrl&quot;:null}]"/>
    <m/>
    <s v="4KxWvwUn6UmSF-54TJCw-8gAN3OC"/>
    <m/>
    <m/>
    <m/>
    <m/>
    <m/>
    <m/>
    <s v="Man :_x000a_Methode :_x000a_Materials :_x000a_Machine/Jig :"/>
    <m/>
    <m/>
    <m/>
    <m/>
    <m/>
    <s v="1. _x000a_2. _x000a_3. _x000a_4. _x000a_5. "/>
    <s v="Possibility Fixed Blade Character E NG (Profil Kelengkungan)"/>
    <m/>
    <m/>
    <s v="Change Fixed Blade and Measure Character E on NG Fixed Blade."/>
    <s v="Nazar Bagus H."/>
  </r>
  <r>
    <s v="AR250425101919"/>
    <s v="RP250506091334"/>
    <x v="73"/>
    <d v="2025-05-06T00:00:00"/>
    <s v="Takatsu-4D Autocutter"/>
    <m/>
    <m/>
    <s v="TKSAL-009"/>
    <s v="DMAV"/>
    <x v="8"/>
    <m/>
    <s v="Operator"/>
    <s v="MA10-CID Printing"/>
    <s v="During Printing Inspection"/>
    <m/>
    <m/>
    <s v="Jig 08"/>
    <s v="During Initial Ink Charge, Found DMAV on Printing Result"/>
    <s v="[{&quot;name&quot;:&quot;DMAV_Nazar Bagus H. 3.jpg&quot;,&quot;link&quot;:&quot;https://epsongroup-my.sharepoint.com/personal/brian_ramdhani_epson_co_id/Documents/Apps/Microsoft%20Forms/TAKATSU%20ANALYZE%20REPORT/Question/DMAV_Nazar%20Bagus%20H.%203.jpg&quot;,&quot;id&quot;:&quot;01D6UVHSJ3QHM573EEYNBYB7PFRRBIRZWG&quot;,&quot;type&quot;:null,&quot;size&quot;:52376,&quot;referenceId&quot;:&quot;01D6UVHSOX5DG5RX522VGYFCV365U3UBU3&quot;,&quot;driveId&quot;:&quot;b!7qg8FsnQY0iiT36_x6Novv_3J9v4MtxPsytkCbb-ZPz3ScQFcxKeSqI2jw7AAtnZ&quot;,&quot;status&quot;:1,&quot;uploadSessionUrl&quot;:null}]"/>
    <m/>
    <s v="NC_A8RFiWEW5nDCLuAS_HcgAA3vZ"/>
    <m/>
    <m/>
    <m/>
    <m/>
    <m/>
    <m/>
    <s v="Man :_x000a_Methode :_x000a_Materials :_x000a_Machine/Jig :"/>
    <m/>
    <m/>
    <m/>
    <m/>
    <m/>
    <s v="1. _x000a_2. _x000a_3. _x000a_4. _x000a_5. "/>
    <s v="NZ Organic inside Nozzle PH"/>
    <m/>
    <m/>
    <s v="Periodically CHange FIlter because Filter life span over due"/>
    <s v="Nazar Bagus H."/>
  </r>
  <r>
    <s v="AR250425113836"/>
    <s v="RP250429062035"/>
    <x v="73"/>
    <d v="2025-04-29T00:00:00"/>
    <s v="Takatsu-8D Autocutter"/>
    <m/>
    <m/>
    <s v="TKSAL-003"/>
    <s v="Abnormal Paper Loading"/>
    <x v="56"/>
    <m/>
    <s v="Operator"/>
    <s v="MA09-PG Adjustment [Setting 1]"/>
    <s v="During Internal Inspection"/>
    <m/>
    <m/>
    <s v="Setelah power on"/>
    <s v="During Initial Power On at Stage PG, Display Stuck on Loading Display."/>
    <s v="[{&quot;name&quot;:&quot;Abnormal Panel_Nazar Bagus H..jpg&quot;,&quot;link&quot;:&quot;https://epsongroup-my.sharepoint.com/personal/brian_ramdhani_epson_co_id/Documents/Apps/Microsoft%20Forms/TAKATSU%20ANALYZE%20REPORT/Question/Abnormal%20Panel_Nazar%20Bagus%20H..jpg&quot;,&quot;id&quot;:&quot;01D6UVHSOOA3RYWWKYAJDZ224OVSH6AITN&quot;,&quot;type&quot;:null,&quot;size&quot;:394804,&quot;referenceId&quot;:&quot;01D6UVHSOX5DG5RX522VGYFCV365U3UBU3&quot;,&quot;driveId&quot;:&quot;b!7qg8FsnQY0iiT36_x6Novv_3J9v4MtxPsytkCbb-ZPz3ScQFcxKeSqI2jw7AAtnZ&quot;,&quot;status&quot;:1,&quot;uploadSessionUrl&quot;:null}]"/>
    <m/>
    <s v="qfMeoYQ8Bk60P1dD_0mDTcgAItJn"/>
    <m/>
    <m/>
    <m/>
    <m/>
    <m/>
    <m/>
    <s v="Man :_x000a_Methode :_x000a_Materials :_x000a_Machine/Jig :"/>
    <m/>
    <m/>
    <m/>
    <m/>
    <m/>
    <s v="1. _x000a_2. _x000a_3. _x000a_4. _x000a_5. "/>
    <s v="Pressure Pump no FUnction"/>
    <m/>
    <m/>
    <s v="Change Pressure Pump and Deep Analyze NG Pressure Pump"/>
    <s v="Nazar Bagus H."/>
  </r>
  <r>
    <s v="AR250425025125"/>
    <s v="RP250506091614"/>
    <x v="73"/>
    <d v="2025-05-06T00:00:00"/>
    <s v="Takatsu-8D Autocutter"/>
    <m/>
    <m/>
    <s v="TKSAL-009"/>
    <s v="DMAV"/>
    <x v="8"/>
    <m/>
    <s v="Operator"/>
    <s v="MA10-Printing"/>
    <s v="During Printing Inspection"/>
    <m/>
    <m/>
    <s v="Jig 07 (PH pending) after wipping"/>
    <s v="During Initial Ink Charge, Found DMAV on Printing Result"/>
    <s v="[{&quot;name&quot;:&quot;DMAV_Nazar Bagus H. 4.jpg&quot;,&quot;link&quot;:&quot;https://epsongroup-my.sharepoint.com/personal/brian_ramdhani_epson_co_id/Documents/Apps/Microsoft%20Forms/TAKATSU%20ANALYZE%20REPORT/Question/DMAV_Nazar%20Bagus%20H.%204.jpg&quot;,&quot;id&quot;:&quot;01D6UVHSP2AHJR6GGELBCLHJBU7W34XSNL&quot;,&quot;type&quot;:null,&quot;size&quot;:52376,&quot;referenceId&quot;:&quot;01D6UVHSOX5DG5RX522VGYFCV365U3UBU3&quot;,&quot;driveId&quot;:&quot;b!7qg8FsnQY0iiT36_x6Novv_3J9v4MtxPsytkCbb-ZPz3ScQFcxKeSqI2jw7AAtnZ&quot;,&quot;status&quot;:1,&quot;uploadSessionUrl&quot;:null}]"/>
    <m/>
    <s v="R8QElZmcSU6QPdlV2U3q58gAKds_"/>
    <m/>
    <m/>
    <m/>
    <m/>
    <m/>
    <m/>
    <s v="Man :_x000a_Methode :_x000a_Materials :_x000a_Machine/Jig :"/>
    <m/>
    <m/>
    <m/>
    <m/>
    <m/>
    <s v="1. _x000a_2. _x000a_3. _x000a_4. _x000a_5. "/>
    <s v="NZ Organic inside Nozzle PH"/>
    <m/>
    <m/>
    <s v="Periodically CHange FIlter because Filter life span over due"/>
    <s v="Nazar Bagus H."/>
  </r>
  <r>
    <s v="AR250429073528"/>
    <s v="RP250429051121"/>
    <x v="74"/>
    <d v="2025-04-29T00:00:00"/>
    <s v="Takatsu-4 Autocutter"/>
    <m/>
    <m/>
    <s v="Wait Pape"/>
    <s v="Wait Paper Remove"/>
    <x v="22"/>
    <m/>
    <s v="Operator"/>
    <s v="MA08-Internal"/>
    <s v="During Initial Setting at Internal Stage"/>
    <m/>
    <m/>
    <s v="Saat proses initial setting"/>
    <s v="During initial setting at Internal Stage, monitor shown wait paper remove"/>
    <s v="[{&quot;name&quot;:&quot;Wait Paper Remove_GPLU_Zainul Muttaqin.jpg&quot;,&quot;link&quot;:&quot;https://epsongroup-my.sharepoint.com/personal/brian_ramdhani_epson_co_id/Documents/Apps/Microsoft%20Forms/TAKATSU%20ANALYZE%20REPORT/Question/Wait%20Paper%20Remove_GPLU_Zainul%20Muttaqin.jpg&quot;,&quot;id&quot;:&quot;01D6UVHSPQJHCV4NSM5BAYA4FSZZBF5LXP&quot;,&quot;type&quot;:null,&quot;size&quot;:79968,&quot;referenceId&quot;:&quot;01D6UVHSOX5DG5RX522VGYFCV365U3UBU3&quot;,&quot;driveId&quot;:&quot;b!7qg8FsnQY0iiT36_x6Novv_3J9v4MtxPsytkCbb-ZPz3ScQFcxKeSqI2jw7AAtnZ&quot;,&quot;status&quot;:1,&quot;uploadSessionUrl&quot;:null}]"/>
    <m/>
    <s v="JoRvC1ZTj0aWU6LMdVxaRcgABPIE"/>
    <m/>
    <m/>
    <m/>
    <m/>
    <m/>
    <m/>
    <s v="Man :_x000a_Methode :_x000a_Materials :_x000a_Machine/Jig :"/>
    <m/>
    <m/>
    <m/>
    <m/>
    <m/>
    <s v="1. _x000a_2. _x000a_3. _x000a_4. _x000a_5. "/>
    <s v="Detector NG"/>
    <m/>
    <m/>
    <s v="Trial detector NG to OK product"/>
    <s v="Zainul Muttaqin"/>
  </r>
  <r>
    <s v="AR250429073800"/>
    <s v="RP250429051737"/>
    <x v="74"/>
    <d v="2025-04-29T00:00:00"/>
    <s v="Takatsu-8 Autocutter"/>
    <m/>
    <m/>
    <s v="TKSAL-017"/>
    <s v="Paper Jam"/>
    <x v="55"/>
    <m/>
    <s v="Operator"/>
    <s v="MA10-Printing"/>
    <s v="During Printing Process"/>
    <m/>
    <m/>
    <s v="Saat proses menu 3"/>
    <s v="During Initial Paper Loading, found Paper Stuck into Auto Cutter"/>
    <s v="[{&quot;name&quot;:&quot;Paper Jam Auto Cutter_Nazar Bagus H..jpg&quot;,&quot;link&quot;:&quot;https://epsongroup-my.sharepoint.com/personal/brian_ramdhani_epson_co_id/Documents/Apps/Microsoft%20Forms/TAKATSU%20ANALYZE%20REPORT/Question/Paper%20Jam%20Auto%20Cutter_Nazar%20Bagus%20H..jpg&quot;,&quot;id&quot;:&quot;01D6UVHSLYE254N2JP7ZA33WQWMTV377ZR&quot;,&quot;type&quot;:null,&quot;size&quot;:82435,&quot;referenceId&quot;:&quot;01D6UVHSOX5DG5RX522VGYFCV365U3UBU3&quot;,&quot;driveId&quot;:&quot;b!7qg8FsnQY0iiT36_x6Novv_3J9v4MtxPsytkCbb-ZPz3ScQFcxKeSqI2jw7AAtnZ&quot;,&quot;status&quot;:1,&quot;uploadSessionUrl&quot;:null}]"/>
    <m/>
    <s v="lWV_84dWUkiL1Fziy-6wq8gAIXFd"/>
    <m/>
    <m/>
    <m/>
    <m/>
    <m/>
    <m/>
    <s v="Man :_x000a_Methode :_x000a_Materials :_x000a_Machine/Jig :"/>
    <m/>
    <m/>
    <m/>
    <m/>
    <m/>
    <s v="1. _x000a_2. _x000a_3. _x000a_4. _x000a_5. "/>
    <s v="Possibility Fixed Blade Character E NG (Profil Kelengkungan)"/>
    <m/>
    <m/>
    <s v="Change Fixed Blade and Measure Character E on NG Fixed Blade. "/>
    <s v="Nazar Bagus H."/>
  </r>
  <r>
    <s v="AR250430112119"/>
    <s v="RP250506092123"/>
    <x v="75"/>
    <d v="2025-05-06T00:00:00"/>
    <s v="Takatsu-8 Autocutter"/>
    <m/>
    <m/>
    <s v="TKSAL-002"/>
    <s v="Abnormal Noise"/>
    <x v="7"/>
    <m/>
    <s v="Operator"/>
    <s v="MA09-PG Adjustment [Setting 1]"/>
    <s v="During Internal Inspection"/>
    <m/>
    <m/>
    <s v="Proses pg"/>
    <s v="Heard Small Noise During MNU Measurement"/>
    <s v="[{&quot;name&quot;:&quot;False Reject_Nazar Bagus H. 18.PNG&quot;,&quot;link&quot;:&quot;https://epsongroup-my.sharepoint.com/personal/brian_ramdhani_epson_co_id/Documents/Apps/Microsoft%20Forms/TAKATSU%20ANALYZE%20REPORT/Question/False%20Reject_Nazar%20Bagus%20H.%2018.PNG&quot;,&quot;id&quot;:&quot;01D6UVHSI75CMBBGVCWZG23JUSS6W5RDFJ&quot;,&quot;type&quot;:null,&quot;size&quot;:1313,&quot;referenceId&quot;:&quot;01D6UVHSOX5DG5RX522VGYFCV365U3UBU3&quot;,&quot;driveId&quot;:&quot;b!7qg8FsnQY0iiT36_x6Novv_3J9v4MtxPsytkCbb-ZPz3ScQFcxKeSqI2jw7AAtnZ&quot;,&quot;status&quot;:1,&quot;uploadSessionUrl&quot;:null}]"/>
    <m/>
    <s v="0ByY7r_QgEWSuc5z-BWlTcgAPFCK"/>
    <m/>
    <m/>
    <m/>
    <m/>
    <m/>
    <m/>
    <s v="Man :_x000a_Methode :_x000a_Materials :_x000a_Machine/Jig :"/>
    <m/>
    <m/>
    <m/>
    <m/>
    <m/>
    <s v="1. _x000a_2. _x000a_3. _x000a_4. _x000a_5. "/>
    <s v="False Reject, Noise not identified as Abnormality"/>
    <m/>
    <m/>
    <s v="False Reject"/>
    <s v="Nazar Bagus H."/>
  </r>
  <r>
    <s v="AR250430114444"/>
    <s v="RP250430035858"/>
    <x v="75"/>
    <d v="2025-04-30T00:00:00"/>
    <s v="Takatsu-8 Autocutter"/>
    <m/>
    <m/>
    <s v="TKSAL-011"/>
    <s v="Initial Setting NG"/>
    <x v="22"/>
    <m/>
    <s v="Operator"/>
    <s v="MA08-Internal"/>
    <s v="During Internal Inspection"/>
    <m/>
    <m/>
    <s v="Saat proses ear leak"/>
    <s v="Missing Phenomenon"/>
    <s v="[{&quot;name&quot;:&quot;False Reject_Nazar Bagus H. 17.PNG&quot;,&quot;link&quot;:&quot;https://epsongroup-my.sharepoint.com/personal/brian_ramdhani_epson_co_id/Documents/Apps/Microsoft%20Forms/TAKATSU%20ANALYZE%20REPORT/Question/False%20Reject_Nazar%20Bagus%20H.%2017.PNG&quot;,&quot;id&quot;:&quot;01D6UVHSI3BQAQIET7GZFYBONZGO4TT5HQ&quot;,&quot;type&quot;:null,&quot;size&quot;:1313,&quot;referenceId&quot;:&quot;01D6UVHSOX5DG5RX522VGYFCV365U3UBU3&quot;,&quot;driveId&quot;:&quot;b!7qg8FsnQY0iiT36_x6Novv_3J9v4MtxPsytkCbb-ZPz3ScQFcxKeSqI2jw7AAtnZ&quot;,&quot;status&quot;:1,&quot;uploadSessionUrl&quot;:null}]"/>
    <m/>
    <s v="C_mpbmwiK0Ss3awCp-oTecgAH8RS"/>
    <m/>
    <m/>
    <m/>
    <m/>
    <m/>
    <m/>
    <s v="Man :_x000a_Methode :_x000a_Materials :_x000a_Machine/Jig :"/>
    <m/>
    <m/>
    <m/>
    <m/>
    <m/>
    <s v="1. _x000a_2. _x000a_3. _x000a_4. _x000a_5. "/>
    <s v="Not NG"/>
    <m/>
    <m/>
    <s v="Not NG"/>
    <s v="Nazar Bagus H."/>
  </r>
  <r>
    <s v="AR250430030458"/>
    <s v="RP250506092440"/>
    <x v="75"/>
    <d v="2025-05-06T00:00:00"/>
    <s v="Takatsu-8 Autocutter"/>
    <m/>
    <m/>
    <s v="TKSAL-010"/>
    <s v="DO"/>
    <x v="8"/>
    <m/>
    <s v="Operator"/>
    <s v="MA10-Printing"/>
    <s v="During Printing Inspection"/>
    <m/>
    <m/>
    <s v="Jig 07"/>
    <s v="During Initial Ink Charge, Found DO on Printing Result"/>
    <s v="[{&quot;name&quot;:&quot;DMAV_Nazar Bagus H. 5.jpg&quot;,&quot;link&quot;:&quot;https://epsongroup-my.sharepoint.com/personal/brian_ramdhani_epson_co_id/Documents/Apps/Microsoft%20Forms/TAKATSU%20ANALYZE%20REPORT/Question/DMAV_Nazar%20Bagus%20H.%205.jpg&quot;,&quot;id&quot;:&quot;01D6UVHSIY6PSIDIE6LBH3BLZAAL3JBLVN&quot;,&quot;type&quot;:null,&quot;size&quot;:52376,&quot;referenceId&quot;:&quot;01D6UVHSOX5DG5RX522VGYFCV365U3UBU3&quot;,&quot;driveId&quot;:&quot;b!7qg8FsnQY0iiT36_x6Novv_3J9v4MtxPsytkCbb-ZPz3ScQFcxKeSqI2jw7AAtnZ&quot;,&quot;status&quot;:1,&quot;uploadSessionUrl&quot;:null}]"/>
    <m/>
    <s v="AQVrZFrgHUeHGsqDrrX-PMgAPDGO"/>
    <m/>
    <m/>
    <m/>
    <m/>
    <m/>
    <m/>
    <s v="Man :_x000a_Methode :_x000a_Materials :_x000a_Machine/Jig :"/>
    <m/>
    <m/>
    <m/>
    <m/>
    <m/>
    <s v="1. _x000a_2. _x000a_3. _x000a_4. _x000a_5. "/>
    <s v="SUS_304 inside Nozzle PH"/>
    <m/>
    <m/>
    <s v="Periodically CHange FIlter because Filter life span over due"/>
    <s v="Nazar Bagus H."/>
  </r>
  <r>
    <s v="AR250505084114"/>
    <s v="RP250509074222"/>
    <x v="76"/>
    <d v="2025-05-09T00:00:00"/>
    <s v="Takatsu-4D Autocutter"/>
    <m/>
    <m/>
    <s v="Holder St"/>
    <s v="Holder Starwheel Loose"/>
    <x v="57"/>
    <m/>
    <s v="Operator"/>
    <s v="MA09-PG Adjustment [Setting 1]"/>
    <s v="During install holder starwheel in PG Stage"/>
    <m/>
    <m/>
    <s v="-"/>
    <s v="During OPR install holder starwheel to product, found holder starwheel can not lock"/>
    <s v="[{&quot;name&quot;:&quot;Holder Starwheel Loose_Zainul Muttaqin.jpg&quot;,&quot;link&quot;:&quot;https://epsongroup-my.sharepoint.com/personal/brian_ramdhani_epson_co_id/Documents/Apps/Microsoft%20Forms/TAKATSU%20ANALYZE%20REPORT/Question/Holder%20Starwheel%20Loose_Zainul%20Muttaqin.jpg&quot;,&quot;id&quot;:&quot;01D6UVHSMFQOP4HKW4PZELXLMYIIRHCGD5&quot;,&quot;type&quot;:null,&quot;size&quot;:79987,&quot;referenceId&quot;:&quot;01D6UVHSOX5DG5RX522VGYFCV365U3UBU3&quot;,&quot;driveId&quot;:&quot;b!7qg8FsnQY0iiT36_x6Novv_3J9v4MtxPsytkCbb-ZPz3ScQFcxKeSqI2jw7AAtnZ&quot;,&quot;status&quot;:1,&quot;uploadSessionUrl&quot;:null}]"/>
    <m/>
    <s v="YBSkNU1dt0CyxEjDOvBlwMgAMs4J"/>
    <m/>
    <m/>
    <m/>
    <m/>
    <m/>
    <m/>
    <s v="Man :_x000a_Methode :_x000a_Materials :_x000a_Machine/Jig :"/>
    <m/>
    <m/>
    <m/>
    <m/>
    <m/>
    <s v="1. _x000a_2. _x000a_3. _x000a_4. _x000a_5. "/>
    <s v="Frame CR Front Unposition, assembly process by OPR [Possibility during fitting Frame CR Front to Frame CR Right/Left and Frame PF Right/Left]"/>
    <m/>
    <m/>
    <s v="- Re-assembly  Frame CR Front to product, become OK, holder starwheel can be installed and can be locked. - Re-training and reminding operator related stage to follow checkpoint on SWP."/>
    <s v="Zainul Muttaqin"/>
  </r>
  <r>
    <s v="AR250505020121"/>
    <s v="RP250506092956"/>
    <x v="76"/>
    <d v="2025-05-06T00:00:00"/>
    <s v="Takatsu-4D Peeler"/>
    <m/>
    <m/>
    <s v="TKSAL-005"/>
    <s v="Abnormal Power On"/>
    <x v="58"/>
    <m/>
    <s v="Operator"/>
    <s v="MA09-PG Adjustment [Setting 1]"/>
    <s v="During Air Leak Inspection"/>
    <m/>
    <m/>
    <s v="Setelah power on"/>
    <s v="During Update Firmware, Appear Update Firmware Update Failed"/>
    <s v="[{&quot;name&quot;:&quot;Update Firmware Failed_Nazar Bagus H..jpg&quot;,&quot;link&quot;:&quot;https://epsongroup-my.sharepoint.com/personal/brian_ramdhani_epson_co_id/Documents/Apps/Microsoft%20Forms/TAKATSU%20ANALYZE%20REPORT/Question/Update%20Firmware%20Failed_Nazar%20Bagus%20H..jpg&quot;,&quot;id&quot;:&quot;01D6UVHSLILYATHQ4FA5H3CR64LD2N2GDE&quot;,&quot;type&quot;:null,&quot;size&quot;:81288,&quot;referenceId&quot;:&quot;01D6UVHSOX5DG5RX522VGYFCV365U3UBU3&quot;,&quot;driveId&quot;:&quot;b!7qg8FsnQY0iiT36_x6Novv_3J9v4MtxPsytkCbb-ZPz3ScQFcxKeSqI2jw7AAtnZ&quot;,&quot;status&quot;:1,&quot;uploadSessionUrl&quot;:null}]"/>
    <m/>
    <s v="L-j4VOyhA0ep9ShOeeo-FcgAHclR"/>
    <m/>
    <m/>
    <m/>
    <m/>
    <m/>
    <m/>
    <s v="Man :_x000a_Methode :_x000a_Materials :_x000a_Machine/Jig :"/>
    <m/>
    <m/>
    <m/>
    <m/>
    <m/>
    <s v="1. _x000a_2. _x000a_3. _x000a_4. _x000a_5. "/>
    <s v="CH77 Prog NG"/>
    <m/>
    <m/>
    <s v="Change with new CH77 Prog product become OK"/>
    <s v="Nazar Bagus H."/>
  </r>
  <r>
    <s v="AR250506014759"/>
    <s v="RP250522081029"/>
    <x v="77"/>
    <d v="2025-05-22T00:00:00"/>
    <s v="Takatsu-4 Autocutter"/>
    <m/>
    <m/>
    <s v="TKSAL-010"/>
    <s v="DO"/>
    <x v="2"/>
    <m/>
    <s v="Operator"/>
    <s v="MA10-Printing"/>
    <s v="During Check Result Printing"/>
    <m/>
    <m/>
    <s v="Jig 02"/>
    <s v="During printing process, Find NG DO in result Nozzle Check"/>
    <s v="[{&quot;name&quot;:&quot;1746582814202_Muhammad Dzaki Taufi.jpg&quot;,&quot;link&quot;:&quot;https://epsongroup-my.sharepoint.com/personal/brian_ramdhani_epson_co_id/Documents/Apps/Microsoft%20Forms/TAKATSU%20ANALYZE%20REPORT/Question/1746582814202_Muhammad%20Dzaki%20Taufi.jpg&quot;,&quot;id&quot;:&quot;01D6UVHSMU7EFJBU55WBEYTDRP7QLNG522&quot;,&quot;type&quot;:null,&quot;size&quot;:3211252,&quot;referenceId&quot;:&quot;01D6UVHSOX5DG5RX522VGYFCV365U3UBU3&quot;,&quot;driveId&quot;:&quot;b!7qg8FsnQY0iiT36_x6Novv_3J9v4MtxPsytkCbb-ZPz3ScQFcxKeSqI2jw7AAtnZ&quot;,&quot;status&quot;:1,&quot;uploadSessionUrl&quot;:null}]"/>
    <m/>
    <s v="DcdLrNVMoE6CZu8dWrPImMgAG6wn"/>
    <m/>
    <m/>
    <m/>
    <m/>
    <m/>
    <m/>
    <s v="Man :_x000a_Methode :_x000a_Materials :_x000a_Machine/Jig :"/>
    <m/>
    <m/>
    <m/>
    <m/>
    <m/>
    <s v="1. _x000a_2. _x000a_3. _x000a_4. _x000a_5. "/>
    <s v="Still Analyze by PH Dept for deep analyze"/>
    <m/>
    <m/>
    <s v="Change new PH in Line, cleaning Joint PH Equipment and 5S Printing Area"/>
    <s v="Muhammad Dzaki Taufiqurrahman Kismana"/>
  </r>
  <r>
    <s v="AR250507112857"/>
    <s v="RP250509071448"/>
    <x v="78"/>
    <d v="2025-05-09T00:00:00"/>
    <s v="Takatsu-4 Autocutter"/>
    <m/>
    <m/>
    <s v="TKSAL-032"/>
    <s v="PF Scale Check NG"/>
    <x v="59"/>
    <m/>
    <s v="Operator"/>
    <s v="MA09-PG Adjustment [Setting 1]"/>
    <s v="During PF Scale Check in PG Stage"/>
    <m/>
    <m/>
    <s v="-"/>
    <s v="During PF Scale Check inspection in PG Stage, found valueof PF Scale Check out of STD"/>
    <s v="[{&quot;name&quot;:&quot;20250507_141802_Zainul Muttaqin.jpg&quot;,&quot;link&quot;:&quot;https://epsongroup-my.sharepoint.com/personal/brian_ramdhani_epson_co_id/Documents/Apps/Microsoft%20Forms/TAKATSU%20ANALYZE%20REPORT/Question/20250507_141802_Zainul%20Muttaqin.jpg&quot;,&quot;id&quot;:&quot;01D6UVHSMDEL2XJVCGLJBK6YXBIB532CFL&quot;,&quot;type&quot;:null,&quot;size&quot;:2164056,&quot;referenceId&quot;:&quot;01D6UVHSOX5DG5RX522VGYFCV365U3UBU3&quot;,&quot;driveId&quot;:&quot;b!7qg8FsnQY0iiT36_x6Novv_3J9v4MtxPsytkCbb-ZPz3ScQFcxKeSqI2jw7AAtnZ&quot;,&quot;status&quot;:1,&quot;uploadSessionUrl&quot;:null}]"/>
    <m/>
    <s v="iwrXJDwcLkCRNe2iijFmmcgAMPE3"/>
    <m/>
    <m/>
    <m/>
    <m/>
    <m/>
    <m/>
    <s v="Man :_x000a_Methode :_x000a_Materials :_x000a_Machine/Jig :"/>
    <s v="PF Scale Check NG"/>
    <s v="Board Assy Encoder NG"/>
    <s v="Still analyze by PCB Engineering [Pak Dwimas]"/>
    <m/>
    <m/>
    <s v="1. PF Scale Check NG_x000a_2. Board Assy Encoder NG_x000a_3. Still analyze by PCB Engineering [Pak Dwimas]_x000a_4. _x000a_5. "/>
    <s v="Still analyze by PCB Eng"/>
    <m/>
    <m/>
    <s v="Change Encoder PF Scale, still analyze by PCB Eng"/>
    <s v="Zainul Muttaqin"/>
  </r>
  <r>
    <s v="AR250508092108"/>
    <s v="RP250515032348"/>
    <x v="79"/>
    <d v="2025-05-15T00:00:00"/>
    <s v="Takatsu-8D Peeler"/>
    <m/>
    <m/>
    <s v="TKSAL-027"/>
    <s v="Unstable Printing"/>
    <x v="14"/>
    <m/>
    <s v="Operator"/>
    <s v="MA10-Printing"/>
    <s v="During Check Result Printing"/>
    <m/>
    <m/>
    <s v="Jig 01"/>
    <s v="During printing Nozzle Check Process, Find NG Unstable Printing"/>
    <s v="[{&quot;name&quot;:&quot;1746786816172_Muhammad Dzaki Taufi.jpg&quot;,&quot;link&quot;:&quot;https://epsongroup-my.sharepoint.com/personal/brian_ramdhani_epson_co_id/Documents/Apps/Microsoft%20Forms/TAKATSU%20ANALYZE%20REPORT/Question/1746786816172_Muhammad%20Dzaki%20Taufi.jpg&quot;,&quot;id&quot;:&quot;01D6UVHSNM456S7YUAHRHL6T2PBT7JP5QW&quot;,&quot;type&quot;:null,&quot;size&quot;:3476745,&quot;referenceId&quot;:&quot;01D6UVHSOX5DG5RX522VGYFCV365U3UBU3&quot;,&quot;driveId&quot;:&quot;b!7qg8FsnQY0iiT36_x6Novv_3J9v4MtxPsytkCbb-ZPz3ScQFcxKeSqI2jw7AAtnZ&quot;,&quot;status&quot;:1,&quot;uploadSessionUrl&quot;:null}]"/>
    <m/>
    <s v="8cq2wRtjTkqV5KH1yIFJYcgAOfLa"/>
    <m/>
    <m/>
    <m/>
    <m/>
    <m/>
    <m/>
    <s v="Man :_x000a_Methode :_x000a_Materials :_x000a_Machine/Jig :"/>
    <m/>
    <m/>
    <m/>
    <m/>
    <m/>
    <s v="1. _x000a_2. _x000a_3. _x000a_4. _x000a_5. "/>
    <s v="Still Analyze by Collecting NVT Data. (PH NG Actual still keep at Production)"/>
    <m/>
    <m/>
    <s v="Change new PH in Line, cleaning Joint PH Equipment and 5S Printing Area"/>
    <s v="Muhammad Dzaki Taufiqurrahman Kismana"/>
  </r>
  <r>
    <s v="AR250513075958"/>
    <s v="RP250521084234"/>
    <x v="80"/>
    <d v="2025-05-21T00:00:00"/>
    <s v="Takatsu-8D Autocutter"/>
    <m/>
    <m/>
    <s v="TKSAL-002"/>
    <s v="Abnormal Noise"/>
    <x v="20"/>
    <m/>
    <s v="Operator"/>
    <s v="MA09-PG Adjustment [Setting 1]"/>
    <s v="During PG Inspection"/>
    <m/>
    <m/>
    <s v="Setelah power on"/>
    <s v="During Initial Power On, Heard Abnormal Noise on Product"/>
    <s v="[{&quot;name&quot;:&quot;False Reject_Nazar Bagus H. 19.PNG&quot;,&quot;link&quot;:&quot;https://epsongroup-my.sharepoint.com/personal/brian_ramdhani_epson_co_id/Documents/Apps/Microsoft%20Forms/TAKATSU%20ANALYZE%20REPORT/Question/False%20Reject_Nazar%20Bagus%20H.%2019.PNG&quot;,&quot;id&quot;:&quot;01D6UVHSJ5LGWEL4AODBHJBW5DAV27T6BK&quot;,&quot;type&quot;:null,&quot;size&quot;:1313,&quot;referenceId&quot;:&quot;01D6UVHSOX5DG5RX522VGYFCV365U3UBU3&quot;,&quot;driveId&quot;:&quot;b!7qg8FsnQY0iiT36_x6Novv_3J9v4MtxPsytkCbb-ZPz3ScQFcxKeSqI2jw7AAtnZ&quot;,&quot;status&quot;:1,&quot;uploadSessionUrl&quot;:null}]"/>
    <m/>
    <s v="aymsN47rxkKB6tpIZxwFz8gAOg8g"/>
    <m/>
    <m/>
    <m/>
    <m/>
    <m/>
    <m/>
    <s v="Man :_x000a_Methode :_x000a_Materials :_x000a_Machine/Jig :"/>
    <m/>
    <m/>
    <m/>
    <m/>
    <m/>
    <s v="1. _x000a_2. _x000a_3. _x000a_4. _x000a_5. "/>
    <s v="Possibility Pressure Pump NG"/>
    <m/>
    <m/>
    <s v="Change To New Pressure Pump, Keep Pressure Pump NG and Trial to another Product to do NG Verification"/>
    <s v="Nazar Bagus H."/>
  </r>
  <r>
    <s v="AR250513041811"/>
    <s v="RP250515101733"/>
    <x v="80"/>
    <d v="2025-05-15T00:00:00"/>
    <s v="Takatsu-4 Autocutter"/>
    <m/>
    <m/>
    <s v="TKSAL-027"/>
    <s v="Unstable Printing"/>
    <x v="14"/>
    <m/>
    <s v="Operator"/>
    <s v="MA10-Printing"/>
    <s v="During Check Result Printing"/>
    <m/>
    <m/>
    <s v="Jig 07"/>
    <s v="During Initial Ink Charge, Found Unstable on Printing Nozzle Check Result"/>
    <s v="[{&quot;name&quot;:&quot;1747188930310_Muhammad Dzaki Taufi.jpg&quot;,&quot;link&quot;:&quot;https://epsongroup-my.sharepoint.com/personal/brian_ramdhani_epson_co_id/Documents/Apps/Microsoft%20Forms/TAKATSU%20ANALYZE%20REPORT/Question/1747188930310_Muhammad%20Dzaki%20Taufi.jpg&quot;,&quot;id&quot;:&quot;01D6UVHSKJWU3MTATMNVBLY4TPU5IHIKB6&quot;,&quot;type&quot;:null,&quot;size&quot;:3695264,&quot;referenceId&quot;:&quot;01D6UVHSOX5DG5RX522VGYFCV365U3UBU3&quot;,&quot;driveId&quot;:&quot;b!7qg8FsnQY0iiT36_x6Novv_3J9v4MtxPsytkCbb-ZPz3ScQFcxKeSqI2jw7AAtnZ&quot;,&quot;status&quot;:1,&quot;uploadSessionUrl&quot;:null}]"/>
    <m/>
    <s v="QTVA3UkrskWSy6LZsPbkF8gACRWS"/>
    <m/>
    <m/>
    <m/>
    <m/>
    <m/>
    <m/>
    <s v="Man :_x000a_Methode :_x000a_Materials :_x000a_Machine/Jig :"/>
    <m/>
    <m/>
    <m/>
    <m/>
    <m/>
    <s v="1. _x000a_2. _x000a_3. _x000a_4. _x000a_5. "/>
    <s v="False Reject. After Ink Discharge Process, Product become OK "/>
    <m/>
    <m/>
    <s v="Re Initial Charge in Line OK"/>
    <s v="Muhammad Dzaki Taufiqurrahman Kismana"/>
  </r>
  <r>
    <s v="AR250514032912"/>
    <s v="RP250515052036"/>
    <x v="81"/>
    <d v="2025-05-15T00:00:00"/>
    <s v="Takatsu-4 Autocutter"/>
    <m/>
    <m/>
    <s v="TKSAL-031"/>
    <s v="CR Scale Check NG"/>
    <x v="60"/>
    <m/>
    <s v="Operator"/>
    <s v="MA13-External+Production 3"/>
    <s v="During External Stage"/>
    <m/>
    <m/>
    <s v="saat proses cr scale cek"/>
    <s v="During CR Scale Check at Stage External, Appear ID 6 on Display PC"/>
    <s v="[{&quot;name&quot;:&quot;CR Scale Check NG_Nazar Bagus H..jpg&quot;,&quot;link&quot;:&quot;https://epsongroup-my.sharepoint.com/personal/brian_ramdhani_epson_co_id/Documents/Apps/Microsoft%20Forms/TAKATSU%20ANALYZE%20REPORT/Question/CR%20Scale%20Check%20NG_Nazar%20Bagus%20H..jpg&quot;,&quot;id&quot;:&quot;01D6UVHSKJOFXP4UR6JBDZ3MZUHY7NCSJ7&quot;,&quot;type&quot;:null,&quot;size&quot;:54364,&quot;referenceId&quot;:&quot;01D6UVHSOX5DG5RX522VGYFCV365U3UBU3&quot;,&quot;driveId&quot;:&quot;b!7qg8FsnQY0iiT36_x6Novv_3J9v4MtxPsytkCbb-ZPz3ScQFcxKeSqI2jw7AAtnZ&quot;,&quot;status&quot;:1,&quot;uploadSessionUrl&quot;:null}]"/>
    <m/>
    <s v="y39eLzsqPUaFZQkWu45MKcgAFPmI"/>
    <m/>
    <m/>
    <m/>
    <m/>
    <m/>
    <m/>
    <s v="Man :_x000a_Methode :_x000a_Materials :_x000a_Machine/Jig :"/>
    <m/>
    <m/>
    <m/>
    <m/>
    <m/>
    <s v="1. _x000a_2. _x000a_3. _x000a_4. _x000a_5. "/>
    <s v="CR Scale Dirty"/>
    <m/>
    <m/>
    <s v="Wipe CR Scale using Tracy Become OK "/>
    <s v="Nazar Bagus H."/>
  </r>
  <r>
    <s v="AR250515082952"/>
    <s v="RP250522080122"/>
    <x v="82"/>
    <d v="2025-05-22T00:00:00"/>
    <s v="Takatsu-4 Autocutter"/>
    <m/>
    <m/>
    <s v="TKSAL-009"/>
    <s v="DMAV"/>
    <x v="8"/>
    <m/>
    <s v="Operator"/>
    <s v="MA10-Printing"/>
    <s v="During Check Result Printing"/>
    <m/>
    <m/>
    <s v="Jig 05"/>
    <s v="During printing process, Find NG DMAV in result Nozzle Check"/>
    <s v="[{&quot;name&quot;:&quot;1747366412752_Muhammad Dzaki Taufi.jpg&quot;,&quot;link&quot;:&quot;https://epsongroup-my.sharepoint.com/personal/brian_ramdhani_epson_co_id/Documents/Apps/Microsoft%20Forms/TAKATSU%20ANALYZE%20REPORT/Question/1747366412752_Muhammad%20Dzaki%20Taufi.jpg&quot;,&quot;id&quot;:&quot;01D6UVHSNGQKI4XB3ZPZF3LSQTN2ITFXPN&quot;,&quot;type&quot;:null,&quot;size&quot;:3644165,&quot;referenceId&quot;:&quot;01D6UVHSOX5DG5RX522VGYFCV365U3UBU3&quot;,&quot;driveId&quot;:&quot;b!7qg8FsnQY0iiT36_x6Novv_3J9v4MtxPsytkCbb-ZPz3ScQFcxKeSqI2jw7AAtnZ&quot;,&quot;status&quot;:1,&quot;uploadSessionUrl&quot;:null}]"/>
    <m/>
    <s v="tuIvMAcXj0Gu5xz37_zYlsgAJWdN"/>
    <m/>
    <m/>
    <m/>
    <m/>
    <m/>
    <m/>
    <s v="Man :_x000a_Methode :_x000a_Materials :_x000a_Machine/Jig :"/>
    <m/>
    <m/>
    <m/>
    <m/>
    <m/>
    <s v="1. _x000a_2. _x000a_3. _x000a_4. _x000a_5. "/>
    <s v="Still Analyze by Collecting NVT Data. "/>
    <m/>
    <m/>
    <s v="Change new PH in Line, cleaning Joint PH Equipment and 5S Printing Area"/>
    <s v="Muhammad Dzaki Taufiqurrahman Kismana"/>
  </r>
  <r>
    <s v="AR250519120542"/>
    <s v="RP250521085538"/>
    <x v="83"/>
    <d v="2025-05-21T00:00:00"/>
    <s v="Takatsu-4 Autocutter"/>
    <m/>
    <m/>
    <s v="TKSAL-005"/>
    <s v="Abnormal Power On"/>
    <x v="61"/>
    <m/>
    <s v="Operator"/>
    <s v="MA08-Internal"/>
    <s v="During Air Leak Inspection"/>
    <m/>
    <m/>
    <s v="Proses update firmware"/>
    <s v="Appear Abnormal Display During Initial Power On at Stage Air Leak"/>
    <s v="[{&quot;name&quot;:&quot;Update Firmware Failed_Nazar Bagus H. 1.jpg&quot;,&quot;link&quot;:&quot;https://epsongroup-my.sharepoint.com/personal/brian_ramdhani_epson_co_id/Documents/Apps/Microsoft%20Forms/TAKATSU%20ANALYZE%20REPORT/Question/Update%20Firmware%20Failed_Nazar%20Bagus%20H.%201.jpg&quot;,&quot;id&quot;:&quot;01D6UVHSMJ76YH4THCNFE3J7QPNEEVD55C&quot;,&quot;type&quot;:null,&quot;size&quot;:81288,&quot;referenceId&quot;:&quot;01D6UVHSOX5DG5RX522VGYFCV365U3UBU3&quot;,&quot;driveId&quot;:&quot;b!7qg8FsnQY0iiT36_x6Novv_3J9v4MtxPsytkCbb-ZPz3ScQFcxKeSqI2jw7AAtnZ&quot;,&quot;status&quot;:1,&quot;uploadSessionUrl&quot;:null}]"/>
    <m/>
    <s v="Ej3Q4FfG_ECYqMt6GXKwpsgAJ0jE"/>
    <m/>
    <m/>
    <m/>
    <m/>
    <m/>
    <m/>
    <s v="Man :_x000a_Methode :_x000a_Materials :_x000a_Machine/Jig :"/>
    <m/>
    <m/>
    <m/>
    <m/>
    <m/>
    <s v="1. _x000a_2. _x000a_3. _x000a_4. _x000a_5. "/>
    <s v="CH77 Prog NG"/>
    <m/>
    <m/>
    <s v="Keep CH77 Prog NG to do NG Verification"/>
    <s v="Nazar Bagus H."/>
  </r>
  <r>
    <s v="AR250521102354"/>
    <s v="RP250521062214"/>
    <x v="84"/>
    <d v="2025-05-21T00:00:00"/>
    <s v="Takatsu-8 Autocutter"/>
    <m/>
    <m/>
    <s v="TKSAL-002"/>
    <s v="Abnormal Noise"/>
    <x v="19"/>
    <m/>
    <s v="Operator"/>
    <s v="MA10-Printing"/>
    <s v="During PG Inspection"/>
    <m/>
    <m/>
    <s v="Proses printing"/>
    <s v="Heard Noise During Platen Fan Operating"/>
    <s v="[{&quot;name&quot;:&quot;False Reject_Nazar Bagus H. 20.PNG&quot;,&quot;link&quot;:&quot;https://epsongroup-my.sharepoint.com/personal/brian_ramdhani_epson_co_id/Documents/Apps/Microsoft%20Forms/TAKATSU%20ANALYZE%20REPORT/Question/False%20Reject_Nazar%20Bagus%20H.%2020.PNG&quot;,&quot;id&quot;:&quot;01D6UVHSICB76U43WYTBHIAOYLAJ2MY5BW&quot;,&quot;type&quot;:null,&quot;size&quot;:1313,&quot;referenceId&quot;:&quot;01D6UVHSOX5DG5RX522VGYFCV365U3UBU3&quot;,&quot;driveId&quot;:&quot;b!7qg8FsnQY0iiT36_x6Novv_3J9v4MtxPsytkCbb-ZPz3ScQFcxKeSqI2jw7AAtnZ&quot;,&quot;status&quot;:1,&quot;uploadSessionUrl&quot;:null}]"/>
    <m/>
    <s v="rUjLPlbciUqTI1amNUkU_sgACAPh"/>
    <m/>
    <m/>
    <m/>
    <m/>
    <m/>
    <m/>
    <s v="Man :_x000a_Methode :_x000a_Materials :_x000a_Machine/Jig :"/>
    <m/>
    <m/>
    <m/>
    <m/>
    <m/>
    <s v="1. _x000a_2. _x000a_3. _x000a_4. _x000a_5. "/>
    <s v="False Reject"/>
    <m/>
    <m/>
    <s v="False Reject"/>
    <s v="Nazar Bagus H."/>
  </r>
  <r>
    <s v="AR250521010227"/>
    <s v="RP250522075224"/>
    <x v="84"/>
    <d v="2025-05-22T00:00:00"/>
    <s v="Takatsu-8 Autocutter"/>
    <m/>
    <m/>
    <s v="TKSAL-010"/>
    <s v="DO"/>
    <x v="2"/>
    <m/>
    <s v="Operator"/>
    <s v="MA10-Printing"/>
    <s v="During Check Result Printing"/>
    <m/>
    <m/>
    <s v="Jig 08"/>
    <s v="During printing Nozzle Check Process, Find NG DO"/>
    <s v="[{&quot;name&quot;:&quot;1747872225278_Muhammad Dzaki Taufi.jpg&quot;,&quot;link&quot;:&quot;https://epsongroup-my.sharepoint.com/personal/brian_ramdhani_epson_co_id/Documents/Apps/Microsoft%20Forms/TAKATSU%20ANALYZE%20REPORT/Question/1747872225278_Muhammad%20Dzaki%20Taufi.jpg&quot;,&quot;id&quot;:&quot;01D6UVHSOC6GQJL222TJFZHJBHYYLFBNV5&quot;,&quot;type&quot;:null,&quot;size&quot;:3849222,&quot;referenceId&quot;:&quot;01D6UVHSOX5DG5RX522VGYFCV365U3UBU3&quot;,&quot;driveId&quot;:&quot;b!7qg8FsnQY0iiT36_x6Novv_3J9v4MtxPsytkCbb-ZPz3ScQFcxKeSqI2jw7AAtnZ&quot;,&quot;status&quot;:1,&quot;uploadSessionUrl&quot;:null}]"/>
    <m/>
    <s v="HubN5OZh3k-UwuempqvhTcgADYWc"/>
    <m/>
    <m/>
    <m/>
    <m/>
    <m/>
    <m/>
    <s v="Man :_x000a_Methode :_x000a_Materials :_x000a_Machine/Jig :"/>
    <m/>
    <m/>
    <m/>
    <m/>
    <m/>
    <s v="1. _x000a_2. _x000a_3. _x000a_4. _x000a_5. "/>
    <s v="Still Analyze by Collecting NVT Data. "/>
    <m/>
    <m/>
    <s v="Change new PH in Line, cleaning Joint PH Equipment and 5S Printing Area"/>
    <s v="Muhammad Dzaki Taufiqurrahman Kismana"/>
  </r>
  <r>
    <s v="AR250522081006"/>
    <s v="RP250522065830"/>
    <x v="85"/>
    <d v="2025-05-22T00:00:00"/>
    <s v="Takatsu-8 Autocutter"/>
    <m/>
    <m/>
    <s v="TKSAL-002"/>
    <s v="Abnormal Noise"/>
    <x v="19"/>
    <m/>
    <s v="Operator"/>
    <s v="MA10-Printing"/>
    <s v="During Printing Inspection"/>
    <m/>
    <m/>
    <s v="Proses printing"/>
    <s v="Heard Noise near Area Platen Unit"/>
    <s v="[{&quot;name&quot;:&quot;False Reject_Nazar Bagus H. 21.PNG&quot;,&quot;link&quot;:&quot;https://epsongroup-my.sharepoint.com/personal/brian_ramdhani_epson_co_id/Documents/Apps/Microsoft%20Forms/TAKATSU%20ANALYZE%20REPORT/Question/False%20Reject_Nazar%20Bagus%20H.%2021.PNG&quot;,&quot;id&quot;:&quot;01D6UVHSP265MSI44Q4VHYC44OFSUA3WHK&quot;,&quot;type&quot;:null,&quot;size&quot;:1313,&quot;referenceId&quot;:&quot;01D6UVHSOX5DG5RX522VGYFCV365U3UBU3&quot;,&quot;driveId&quot;:&quot;b!7qg8FsnQY0iiT36_x6Novv_3J9v4MtxPsytkCbb-ZPz3ScQFcxKeSqI2jw7AAtnZ&quot;,&quot;status&quot;:1,&quot;uploadSessionUrl&quot;:null}]"/>
    <m/>
    <s v="P-olkp6bnUKQJKgU7FKvSMgANiac"/>
    <m/>
    <m/>
    <m/>
    <m/>
    <m/>
    <m/>
    <s v="Man :_x000a_Methode :_x000a_Materials :_x000a_Machine/Jig :"/>
    <m/>
    <m/>
    <m/>
    <m/>
    <m/>
    <s v="1. _x000a_2. _x000a_3. _x000a_4. _x000a_5. "/>
    <s v="False Reject"/>
    <m/>
    <m/>
    <s v="Check in Line OK, not so different with Other Mecha"/>
    <s v="Nazar Bagus H."/>
  </r>
  <r>
    <s v="AR250522010601"/>
    <s v="RP250526080053"/>
    <x v="85"/>
    <d v="2025-05-26T00:00:00"/>
    <s v="Takatsu-4D Autocutter"/>
    <m/>
    <m/>
    <s v="TKSAL-009"/>
    <s v="DMAV"/>
    <x v="8"/>
    <m/>
    <s v="Operator"/>
    <s v="MA10-Printing"/>
    <s v="During Check Result Printing"/>
    <m/>
    <m/>
    <s v="Jig 08"/>
    <s v="During printing process, Find NG DMAV in result Nozzle Check"/>
    <s v="[{&quot;name&quot;:&quot;1748218413217_Muhammad Dzaki Taufi.jpg&quot;,&quot;link&quot;:&quot;https://epsongroup-my.sharepoint.com/personal/brian_ramdhani_epson_co_id/Documents/Apps/Microsoft%20Forms/TAKATSU%20ANALYZE%20REPORT/Question/1748218413217_Muhammad%20Dzaki%20Taufi.jpg&quot;,&quot;id&quot;:&quot;01D6UVHSKJCCRP7Y3QDNDLUECXGD7MKP7H&quot;,&quot;type&quot;:null,&quot;size&quot;:4837413,&quot;referenceId&quot;:&quot;01D6UVHSOX5DG5RX522VGYFCV365U3UBU3&quot;,&quot;driveId&quot;:&quot;b!7qg8FsnQY0iiT36_x6Novv_3J9v4MtxPsytkCbb-ZPz3ScQFcxKeSqI2jw7AAtnZ&quot;,&quot;status&quot;:1,&quot;uploadSessionUrl&quot;:null}]"/>
    <m/>
    <s v="IXwlLPFi70Khj2gp7xWaWsgAGHIw"/>
    <m/>
    <m/>
    <m/>
    <m/>
    <m/>
    <m/>
    <s v="Man :_x000a_Methode :_x000a_Materials :_x000a_Machine/Jig :"/>
    <m/>
    <m/>
    <m/>
    <m/>
    <m/>
    <s v="1. _x000a_2. _x000a_3. _x000a_4. _x000a_5. "/>
    <s v="Still Analyze by Collecting NVT Data. "/>
    <m/>
    <m/>
    <s v="Change new PH in Line, cleaning Joint PH Equipment and 5S Printing Area"/>
    <s v="Muhammad Dzaki Taufiqurrahman Kismana"/>
  </r>
  <r>
    <s v="AR250522061829"/>
    <s v="RP250522072126"/>
    <x v="85"/>
    <d v="2025-05-22T00:00:00"/>
    <s v="Takatsu-8D Autocutter"/>
    <m/>
    <m/>
    <s v="TKSAL-025"/>
    <s v="Shutter Check Noise"/>
    <x v="27"/>
    <m/>
    <s v="Operator"/>
    <s v="MA09-PG Adjustment [Setting 1]"/>
    <s v="During PG Inspection"/>
    <m/>
    <m/>
    <s v="Proses pg"/>
    <s v="During Shutter Check Inspection, Found Suction Value NG"/>
    <s v="[{&quot;name&quot;:&quot;False Reject_Nazar Bagus H. 22.PNG&quot;,&quot;link&quot;:&quot;https://epsongroup-my.sharepoint.com/personal/brian_ramdhani_epson_co_id/Documents/Apps/Microsoft%20Forms/TAKATSU%20ANALYZE%20REPORT/Question/False%20Reject_Nazar%20Bagus%20H.%2022.PNG&quot;,&quot;id&quot;:&quot;01D6UVHSIGYIVTCOUHOVAYLEA374AXZLNI&quot;,&quot;type&quot;:null,&quot;size&quot;:1313,&quot;referenceId&quot;:&quot;01D6UVHSOX5DG5RX522VGYFCV365U3UBU3&quot;,&quot;driveId&quot;:&quot;b!7qg8FsnQY0iiT36_x6Novv_3J9v4MtxPsytkCbb-ZPz3ScQFcxKeSqI2jw7AAtnZ&quot;,&quot;status&quot;:1,&quot;uploadSessionUrl&quot;:null}]"/>
    <m/>
    <s v="u2SOERYjnE6DqFdFZMJ4e8gAOd-4"/>
    <m/>
    <m/>
    <m/>
    <m/>
    <m/>
    <m/>
    <s v="Man :_x000a_Methode :_x000a_Materials :_x000a_Machine/Jig :"/>
    <m/>
    <m/>
    <m/>
    <m/>
    <m/>
    <s v="1. _x000a_2. _x000a_3. _x000a_4. _x000a_5. "/>
    <s v="False Reject"/>
    <m/>
    <m/>
    <s v="Re Check in Line OK"/>
    <s v="Nazar Bagus H."/>
  </r>
  <r>
    <s v="AR250523080135"/>
    <s v="RP250523031239"/>
    <x v="86"/>
    <d v="2025-05-23T00:00:00"/>
    <s v="Takatsu-8D Autocutter"/>
    <m/>
    <m/>
    <s v="TKSAL-005"/>
    <s v="Abnormal Power On"/>
    <x v="62"/>
    <m/>
    <s v="Operator"/>
    <s v="MA10-Printing"/>
    <s v="During "/>
    <m/>
    <m/>
    <s v="Setelah power on"/>
    <s v="During Initial Power On, Found Display not booting (Always on Loading Screen)"/>
    <s v="[{&quot;name&quot;:&quot;False Reject_Nazar Bagus H. 23.PNG&quot;,&quot;link&quot;:&quot;https://epsongroup-my.sharepoint.com/personal/brian_ramdhani_epson_co_id/Documents/Apps/Microsoft%20Forms/TAKATSU%20ANALYZE%20REPORT/Question/False%20Reject_Nazar%20Bagus%20H.%2023.PNG&quot;,&quot;id&quot;:&quot;01D6UVHSNHXOXQIXB3DVAIUWF4MCEKJIAW&quot;,&quot;type&quot;:null,&quot;size&quot;:1313,&quot;referenceId&quot;:&quot;01D6UVHSOX5DG5RX522VGYFCV365U3UBU3&quot;,&quot;driveId&quot;:&quot;b!7qg8FsnQY0iiT36_x6Novv_3J9v4MtxPsytkCbb-ZPz3ScQFcxKeSqI2jw7AAtnZ&quot;,&quot;status&quot;:1,&quot;uploadSessionUrl&quot;:null}]"/>
    <m/>
    <s v="Oc6RRWyofUG2asfDncEhzsgAA9QC"/>
    <m/>
    <m/>
    <m/>
    <m/>
    <m/>
    <m/>
    <s v="Man :_x000a_Methode :_x000a_Materials :_x000a_Machine/Jig :"/>
    <m/>
    <m/>
    <m/>
    <m/>
    <m/>
    <s v="1. _x000a_2. _x000a_3. _x000a_4. _x000a_5. "/>
    <s v="FFC Main not Connected Properly"/>
    <m/>
    <m/>
    <s v="Reconnect FFC Become OK"/>
    <s v="Nazar Bagus H."/>
  </r>
  <r>
    <s v="AR250526020911"/>
    <s v="RP250528085616"/>
    <x v="87"/>
    <d v="2025-05-28T00:00:00"/>
    <s v="Takatsu-4 Autocutter"/>
    <m/>
    <m/>
    <s v="TKSAL-006"/>
    <s v="CR Measurement NG"/>
    <x v="25"/>
    <m/>
    <s v="Operator"/>
    <s v="MA09-PG Adjustment [Setting 1]"/>
    <s v="During Internal Inspection"/>
    <m/>
    <m/>
    <s v="Proses pg"/>
    <s v="Found NG During CR Measurement Check at Stage PG"/>
    <s v="[{&quot;name&quot;:&quot;CR Measurement_Nazar Bagus H. 1.png&quot;,&quot;link&quot;:&quot;https://epsongroup-my.sharepoint.com/personal/brian_ramdhani_epson_co_id/Documents/Apps/Microsoft%20Forms/TAKATSU%20ANALYZE%20REPORT/Question/CR%20Measurement_Nazar%20Bagus%20H.%201.png&quot;,&quot;id&quot;:&quot;01D6UVHSPDSPNLJXB7TFFYOR2DN64SLIJL&quot;,&quot;type&quot;:null,&quot;size&quot;:15976,&quot;referenceId&quot;:&quot;01D6UVHSOX5DG5RX522VGYFCV365U3UBU3&quot;,&quot;driveId&quot;:&quot;b!7qg8FsnQY0iiT36_x6Novv_3J9v4MtxPsytkCbb-ZPz3ScQFcxKeSqI2jw7AAtnZ&quot;,&quot;status&quot;:1,&quot;uploadSessionUrl&quot;:null}]"/>
    <m/>
    <s v="Jxgp1GLup0y8q7yWcY6uNsgACnLi"/>
    <m/>
    <m/>
    <m/>
    <m/>
    <m/>
    <m/>
    <s v="Man :_x000a_Methode :_x000a_Materials :_x000a_Machine/Jig :"/>
    <m/>
    <m/>
    <m/>
    <m/>
    <m/>
    <s v="1. _x000a_2. _x000a_3. _x000a_4. _x000a_5. "/>
    <s v="Missing phenomenon, Possibility Assembly Problem"/>
    <m/>
    <m/>
    <s v="Change Carriage Unit become OK"/>
    <s v="Nazar Bagus H."/>
  </r>
  <r>
    <s v="AR250527081437"/>
    <s v="RP250528082324"/>
    <x v="88"/>
    <d v="2025-05-28T00:00:00"/>
    <s v="Takatsu-8 Autocutter"/>
    <m/>
    <m/>
    <s v="TKSAL-008"/>
    <s v="DMAH"/>
    <x v="3"/>
    <m/>
    <s v="Operator"/>
    <s v="MA10-Printing"/>
    <s v="During Check Result Printing"/>
    <m/>
    <m/>
    <s v="JIG 08"/>
    <s v="During Initial Ink Charge, Found DMAH on Printing Nozzle Check Result"/>
    <s v="[{&quot;name&quot;:&quot;Picture1_Muhammad Dzaki Taufi 1.png&quot;,&quot;link&quot;:&quot;https://epsongroup-my.sharepoint.com/personal/brian_ramdhani_epson_co_id/Documents/Apps/Microsoft%20Forms/TAKATSU%20ANALYZE%20REPORT/Question/Picture1_Muhammad%20Dzaki%20Taufi%201.png&quot;,&quot;id&quot;:&quot;01D6UVHSLFEWACWYIZRZEIIETRAPDBOS7O&quot;,&quot;type&quot;:null,&quot;size&quot;:2701631,&quot;referenceId&quot;:&quot;01D6UVHSOX5DG5RX522VGYFCV365U3UBU3&quot;,&quot;driveId&quot;:&quot;b!7qg8FsnQY0iiT36_x6Novv_3J9v4MtxPsytkCbb-ZPz3ScQFcxKeSqI2jw7AAtnZ&quot;,&quot;status&quot;:1,&quot;uploadSessionUrl&quot;:null}]"/>
    <m/>
    <s v="soW9hIQnsk2NvOzbc5GnLMgAMcyl"/>
    <m/>
    <m/>
    <m/>
    <m/>
    <m/>
    <m/>
    <s v="Man :_x000a_Methode :_x000a_Materials :_x000a_Machine/Jig :"/>
    <m/>
    <m/>
    <m/>
    <m/>
    <m/>
    <s v="1. _x000a_2. _x000a_3. _x000a_4. _x000a_5. "/>
    <s v="False Reject. After Ink Discharge Process, Product become OK"/>
    <m/>
    <m/>
    <s v="Re-Initial Charge in Line OK"/>
    <s v="Muhammad Dzaki Taufiqurrahman Kismana"/>
  </r>
  <r>
    <s v="AR250528085518"/>
    <s v="RP250528023034"/>
    <x v="89"/>
    <d v="2025-05-28T00:00:00"/>
    <s v="Takatsu-8 Autocutter"/>
    <m/>
    <m/>
    <s v="Button Pa"/>
    <s v="Button Panel NG"/>
    <x v="63"/>
    <m/>
    <s v="Operator"/>
    <s v="MA13-External+Production 3"/>
    <s v=" During External Inspection"/>
    <m/>
    <m/>
    <s v="Still analize"/>
    <s v="Found NG UP Button, During Inspection Panel Button Check at External Stage"/>
    <s v="[{&quot;name&quot;:&quot;NG UP BUTTON PANEL_Muhammad Dzaki Taufi.png&quot;,&quot;link&quot;:&quot;https://epsongroup-my.sharepoint.com/personal/brian_ramdhani_epson_co_id/Documents/Apps/Microsoft%20Forms/TAKATSU%20ANALYZE%20REPORT/Question/NG%20UP%20BUTTON%20PANEL_Muhammad%20Dzaki%20Taufi.png&quot;,&quot;id&quot;:&quot;01D6UVHSIWNKRZ6SPGSVCKQPJSNPSD5W3C&quot;,&quot;type&quot;:null,&quot;size&quot;:3412951,&quot;referenceId&quot;:&quot;01D6UVHSOX5DG5RX522VGYFCV365U3UBU3&quot;,&quot;driveId&quot;:&quot;b!7qg8FsnQY0iiT36_x6Novv_3J9v4MtxPsytkCbb-ZPz3ScQFcxKeSqI2jw7AAtnZ&quot;,&quot;status&quot;:1,&quot;uploadSessionUrl&quot;:null}]"/>
    <m/>
    <s v="bVPyGYkqhkCcOtc82qJE8MgAFqvp"/>
    <m/>
    <m/>
    <m/>
    <m/>
    <m/>
    <m/>
    <s v="Man :_x000a_Methode :_x000a_Materials :_x000a_Machine/Jig :"/>
    <m/>
    <m/>
    <m/>
    <m/>
    <m/>
    <s v="1. _x000a_2. _x000a_3. _x000a_4. _x000a_5. "/>
    <s v="False Reject. "/>
    <m/>
    <m/>
    <s v="Re-Inspection Panel Button Check process Become OK. Make sure By Re-try process inspection until 10x, is still OK"/>
    <s v="Muhammad Dzaki Taufiqurrahman Kismana"/>
  </r>
  <r>
    <s v="AR250528110047"/>
    <s v="RP250528020841"/>
    <x v="89"/>
    <d v="2025-05-28T00:00:00"/>
    <s v="Takatsu-8D Autocutter"/>
    <m/>
    <m/>
    <s v="TKSAL-017"/>
    <s v="Paper Jam"/>
    <x v="55"/>
    <m/>
    <s v="Operator"/>
    <s v="MA10-Printing"/>
    <s v="During Internal Inspection"/>
    <m/>
    <m/>
    <s v="Jig 05"/>
    <s v="Appear Paper Jam After Cutting Paper on Stage Printing"/>
    <s v="[{&quot;name&quot;:&quot;Paper Jam Auto Cutter Lever Sensor NG_Nazar Bagus H..jpg&quot;,&quot;link&quot;:&quot;https://epsongroup-my.sharepoint.com/personal/brian_ramdhani_epson_co_id/Documents/Apps/Microsoft%20Forms/TAKATSU%20ANALYZE%20REPORT/Question/Paper%20Jam%20Auto%20Cutter%20Lever%20Sensor%20NG_Nazar%20Bagus%20H..jpg&quot;,&quot;id&quot;:&quot;01D6UVHSKP54U37MNRBJDYMR5ZAHROKYXV&quot;,&quot;type&quot;:null,&quot;size&quot;:187155,&quot;referenceId&quot;:&quot;01D6UVHSOX5DG5RX522VGYFCV365U3UBU3&quot;,&quot;driveId&quot;:&quot;b!7qg8FsnQY0iiT36_x6Novv_3J9v4MtxPsytkCbb-ZPz3ScQFcxKeSqI2jw7AAtnZ&quot;,&quot;status&quot;:1,&quot;uploadSessionUrl&quot;:null}]"/>
    <m/>
    <s v="D3AgwHS5GkO-aCPGMQBkEcgAIGNa"/>
    <m/>
    <m/>
    <s v="No Changes"/>
    <s v="No Changes"/>
    <s v="No Changes"/>
    <s v="No Changes"/>
    <s v="Man :No Changes_x000a_Methode :No Changes_x000a_Materials :No Changes_x000a_Machine/Jig :No Changes"/>
    <s v="Paper Jam"/>
    <s v="Product Communication Error"/>
    <s v="Auto Cutter Abnormal"/>
    <s v="Lever Sensor No Function"/>
    <s v="Possibility Pin Harness Lever Sensor Pulled Off During Insertion into Panel Unit"/>
    <s v="1. Paper Jam_x000a_2. Product Communication Error_x000a_3. Auto Cutter Abnormal_x000a_4. Lever Sensor No Function_x000a_5. Possibility Pin Harness Lever Sensor Pulled Off During Insertion into Panel Unit"/>
    <s v="Lever Sensor on Auto Cutter not Function due to Pin on Sensor Pulled off."/>
    <m/>
    <m/>
    <s v="Change Sesnor OK"/>
    <s v="Nazar Bagus H."/>
  </r>
  <r>
    <s v="AR250530112609"/>
    <s v="RP250611103934"/>
    <x v="90"/>
    <d v="2025-06-11T00:00:00"/>
    <s v="Takatsu-4 Autocutter"/>
    <m/>
    <m/>
    <s v="Slack Sen"/>
    <s v="Slack Sensor NG"/>
    <x v="64"/>
    <m/>
    <s v="Operator"/>
    <s v="MA09-PG Adjustment [Setting 1]"/>
    <s v="During Internal Inspection"/>
    <m/>
    <m/>
    <s v="Saat proses slack menu calibration"/>
    <s v="Found Slack Sensor NG During Slack Sensor Inspection"/>
    <s v="[{&quot;name&quot;:&quot;False Reject_Nazar Bagus H. 26.PNG&quot;,&quot;link&quot;:&quot;https://epsongroup-my.sharepoint.com/personal/brian_ramdhani_epson_co_id/Documents/Apps/Microsoft%20Forms/TAKATSU%20ANALYZE%20REPORT/Question/False%20Reject_Nazar%20Bagus%20H.%2026.PNG&quot;,&quot;id&quot;:&quot;01D6UVHSJFZG62XJGWLNBK5YD4V52Y4KNX&quot;,&quot;type&quot;:null,&quot;size&quot;:1313,&quot;referenceId&quot;:&quot;01D6UVHSOX5DG5RX522VGYFCV365U3UBU3&quot;,&quot;driveId&quot;:&quot;b!7qg8FsnQY0iiT36_x6Novv_3J9v4MtxPsytkCbb-ZPz3ScQFcxKeSqI2jw7AAtnZ&quot;,&quot;status&quot;:1,&quot;uploadSessionUrl&quot;:null}]"/>
    <m/>
    <s v="F1a-15Lqg0O7mDzc8x-XfsgALV1D"/>
    <m/>
    <m/>
    <m/>
    <m/>
    <m/>
    <m/>
    <s v="Man :_x000a_Methode :_x000a_Materials :_x000a_Machine/Jig :"/>
    <m/>
    <m/>
    <m/>
    <m/>
    <m/>
    <s v="1. _x000a_2. _x000a_3. _x000a_4. _x000a_5. "/>
    <s v="After Swap Analyze, NG Dissapear"/>
    <m/>
    <m/>
    <s v="Check NG Slack Sensor 10x OK on Other Mechanism"/>
    <s v="Nazar Bagus H."/>
  </r>
  <r>
    <s v="AR250530050032"/>
    <s v="RP250530054407"/>
    <x v="90"/>
    <d v="2025-05-30T00:00:00"/>
    <s v="Takatsu-4 Autocutter"/>
    <m/>
    <m/>
    <s v="TKSAL-002"/>
    <s v="Abnormal Noise"/>
    <x v="20"/>
    <m/>
    <s v="Operator"/>
    <s v="MA13-External+Production 3"/>
    <s v="During External Inspection"/>
    <m/>
    <m/>
    <s v="Setelah power on"/>
    <s v="Heard Small Noise During Inspection Mode"/>
    <s v="[{&quot;name&quot;:&quot;1748600812382_Muhammad Dzaki Taufi.jpg&quot;,&quot;link&quot;:&quot;https://epsongroup-my.sharepoint.com/personal/brian_ramdhani_epson_co_id/Documents/Apps/Microsoft%20Forms/TAKATSU%20ANALYZE%20REPORT/Question/1748600812382_Muhammad%20Dzaki%20Taufi.jpg&quot;,&quot;id&quot;:&quot;01D6UVHSM64TQO5KB4I5FZUVLQAO3Q6KFM&quot;,&quot;type&quot;:null,&quot;size&quot;:4147495,&quot;referenceId&quot;:&quot;01D6UVHSOX5DG5RX522VGYFCV365U3UBU3&quot;,&quot;driveId&quot;:&quot;b!7qg8FsnQY0iiT36_x6Novv_3J9v4MtxPsytkCbb-ZPz3ScQFcxKeSqI2jw7AAtnZ&quot;,&quot;status&quot;:1,&quot;uploadSessionUrl&quot;:null}]"/>
    <m/>
    <s v="Ii1QfwqvQEuYgkawKdiweMgAKej_"/>
    <m/>
    <m/>
    <m/>
    <m/>
    <m/>
    <m/>
    <s v="Man :_x000a_Methode :_x000a_Materials :_x000a_Machine/Jig :"/>
    <m/>
    <m/>
    <m/>
    <m/>
    <m/>
    <s v="1. _x000a_2. _x000a_3. _x000a_4. _x000a_5. "/>
    <s v="Not NG, Noise not identified as Abnormality"/>
    <m/>
    <m/>
    <s v="Not NG (No need Temporary Action)"/>
    <s v="Muhammad Dzaki Taufiqurrahman Kismana"/>
  </r>
  <r>
    <s v="AR250602091048"/>
    <s v="RP250604083902"/>
    <x v="91"/>
    <d v="2025-06-04T00:00:00"/>
    <s v="Takatsu-8 Autocutter"/>
    <m/>
    <m/>
    <s v="TKSFE-006"/>
    <s v="Fatal Error 4417"/>
    <x v="39"/>
    <m/>
    <s v="Operator"/>
    <s v="MA09-PG Adjustment [Setting 1]"/>
    <s v="During Internal Inspection"/>
    <m/>
    <m/>
    <s v="Setelah power on"/>
    <s v="During Initial Power On, Carriage Move then appear Fatal Error 4417"/>
    <s v="[{&quot;name&quot;:&quot;4417_Nazar Bagus H..png&quot;,&quot;link&quot;:&quot;https://epsongroup-my.sharepoint.com/personal/brian_ramdhani_epson_co_id/Documents/Apps/Microsoft%20Forms/TAKATSU%20ANALYZE%20REPORT/Question/4417_Nazar%20Bagus%20H..png&quot;,&quot;id&quot;:&quot;01D6UVHSOKNYFZ6APYHNHYZSR52NGAW7ZF&quot;,&quot;type&quot;:null,&quot;size&quot;:250012,&quot;referenceId&quot;:&quot;01D6UVHSOX5DG5RX522VGYFCV365U3UBU3&quot;,&quot;driveId&quot;:&quot;b!7qg8FsnQY0iiT36_x6Novv_3J9v4MtxPsytkCbb-ZPz3ScQFcxKeSqI2jw7AAtnZ&quot;,&quot;status&quot;:1,&quot;uploadSessionUrl&quot;:null}]"/>
    <m/>
    <s v="s_fqaZSrvkWPJ0KTdmqUAcgAIZEm"/>
    <m/>
    <m/>
    <s v="No Changes"/>
    <s v="No Changes"/>
    <s v="No Changes"/>
    <s v="No Changes"/>
    <s v="Man :No Changes_x000a_Methode :No Changes_x000a_Materials :No Changes_x000a_Machine/Jig :No Changes"/>
    <s v="Printer Error 004417"/>
    <s v="PW Shutter Opening and Closing Error"/>
    <s v="PW Shutter Open and Close not Detect"/>
    <s v="Communication Error "/>
    <s v="FFC PW not Connected (Assembly Problem)"/>
    <s v="1. Printer Error 004417_x000a_2. PW Shutter Opening and Closing Error_x000a_3. PW Shutter Open and Close not Detect_x000a_4. Communication Error _x000a_5. FFC PW not Connected (Assembly Problem)"/>
    <s v="FFC PW not Connected"/>
    <m/>
    <m/>
    <s v="Re-Train Operator to Ensure FFC PW in Carriage is Full Insert"/>
    <s v="Nazar Bagus H."/>
  </r>
  <r>
    <s v="AR250603094149"/>
    <s v="RP250611104851"/>
    <x v="92"/>
    <d v="2025-06-11T00:00:00"/>
    <s v="Takatsu-8 Autocutter"/>
    <m/>
    <m/>
    <s v="TKSAL-005"/>
    <s v="Abnormal Power On"/>
    <x v="43"/>
    <m/>
    <s v="Operator"/>
    <s v="MA09-PG Adjustment [Setting 1]"/>
    <s v="During Internal Inspection"/>
    <m/>
    <m/>
    <s v="Saat proses no 2 ( pg adjustment) "/>
    <s v="During Initial Power On, UI Stuck on Loading Screen"/>
    <s v="[{&quot;name&quot;:&quot;CSIC NG_Nazar Bagus H. 1.png&quot;,&quot;link&quot;:&quot;https://epsongroup-my.sharepoint.com/personal/brian_ramdhani_epson_co_id/Documents/Apps/Microsoft%20Forms/TAKATSU%20ANALYZE%20REPORT/Question/CSIC%20NG_Nazar%20Bagus%20H.%201.png&quot;,&quot;id&quot;:&quot;01D6UVHSPU3YJJUFI4OVC3XCL7576V3GNH&quot;,&quot;type&quot;:null,&quot;size&quot;:592115,&quot;referenceId&quot;:&quot;01D6UVHSOX5DG5RX522VGYFCV365U3UBU3&quot;,&quot;driveId&quot;:&quot;b!7qg8FsnQY0iiT36_x6Novv_3J9v4MtxPsytkCbb-ZPz3ScQFcxKeSqI2jw7AAtnZ&quot;,&quot;status&quot;:1,&quot;uploadSessionUrl&quot;:null}]"/>
    <m/>
    <s v="Zvzh0i2ZD0yA9s5OQ3Snf8gAMyEw"/>
    <m/>
    <m/>
    <m/>
    <m/>
    <m/>
    <m/>
    <s v="Man :_x000a_Methode :_x000a_Materials :_x000a_Machine/Jig :"/>
    <m/>
    <m/>
    <m/>
    <m/>
    <m/>
    <s v="1. _x000a_2. _x000a_3. _x000a_4. _x000a_5. "/>
    <s v="PIN CSIC on IH NG"/>
    <m/>
    <m/>
    <s v="Change IH Unit in Line OK"/>
    <s v="Nazar Bagus H."/>
  </r>
  <r>
    <s v="AR250603025026"/>
    <s v="RP250604082536"/>
    <x v="92"/>
    <d v="2025-06-04T00:00:00"/>
    <s v="Takatsu-8 Autocutter"/>
    <m/>
    <m/>
    <s v="TKSAL-027"/>
    <s v="Unstable Printing"/>
    <x v="14"/>
    <m/>
    <s v="Operator"/>
    <s v="MA10-Printing"/>
    <s v="During Check Result Printing"/>
    <m/>
    <m/>
    <s v="Jig 08"/>
    <s v="During printing process, Find NG UP in result Nozzle Check"/>
    <s v="[{&quot;name&quot;:&quot;1748942627317_Muhammad Dzaki Taufi.jpg&quot;,&quot;link&quot;:&quot;https://epsongroup-my.sharepoint.com/personal/brian_ramdhani_epson_co_id/Documents/Apps/Microsoft%20Forms/TAKATSU%20ANALYZE%20REPORT/Question/1748942627317_Muhammad%20Dzaki%20Taufi.jpg&quot;,&quot;id&quot;:&quot;01D6UVHSM7YAX5TJRVABAZBHCFHQPMC4U7&quot;,&quot;type&quot;:null,&quot;size&quot;:4155045,&quot;referenceId&quot;:&quot;01D6UVHSOX5DG5RX522VGYFCV365U3UBU3&quot;,&quot;driveId&quot;:&quot;b!7qg8FsnQY0iiT36_x6Novv_3J9v4MtxPsytkCbb-ZPz3ScQFcxKeSqI2jw7AAtnZ&quot;,&quot;status&quot;:1,&quot;uploadSessionUrl&quot;:null}]"/>
    <m/>
    <s v="LxAUtYlyx0CazjkJ3P58AMgAOvB3"/>
    <m/>
    <m/>
    <m/>
    <m/>
    <m/>
    <m/>
    <s v="Man :_x000a_Methode :_x000a_Materials :_x000a_Machine/Jig :"/>
    <m/>
    <m/>
    <m/>
    <m/>
    <m/>
    <s v="1. _x000a_2. _x000a_3. _x000a_4. _x000a_5. "/>
    <s v="Still Analyze by Collecting NVT Data (PH NG still keep in MA)"/>
    <m/>
    <m/>
    <s v="Change new PH in Line. Cleaning Joint PH Equipment and 5S Printing Area"/>
    <s v="Muhammad Dzaki Taufiqurrahman Kismana"/>
  </r>
  <r>
    <s v="AR250603030217"/>
    <s v="RP250604084424"/>
    <x v="92"/>
    <d v="2025-06-04T00:00:00"/>
    <s v="Takatsu-8 Autocutter"/>
    <m/>
    <m/>
    <s v="TKSAL-005"/>
    <s v="Abnormal Power On"/>
    <x v="65"/>
    <m/>
    <s v="Operator"/>
    <s v="MA10-Printing"/>
    <s v="During Internal Inspection"/>
    <m/>
    <m/>
    <s v="Stg discharge"/>
    <s v="When Initial Power on, Found Panel stuck on Loading UI"/>
    <s v="[{&quot;name&quot;:&quot;CSIC NG_Nazar Bagus H..png&quot;,&quot;link&quot;:&quot;https://epsongroup-my.sharepoint.com/personal/brian_ramdhani_epson_co_id/Documents/Apps/Microsoft%20Forms/TAKATSU%20ANALYZE%20REPORT/Question/CSIC%20NG_Nazar%20Bagus%20H..png&quot;,&quot;id&quot;:&quot;01D6UVHSNIJF74SFDH5JF3LJIW6UQITCUO&quot;,&quot;type&quot;:null,&quot;size&quot;:592115,&quot;referenceId&quot;:&quot;01D6UVHSOX5DG5RX522VGYFCV365U3UBU3&quot;,&quot;driveId&quot;:&quot;b!7qg8FsnQY0iiT36_x6Novv_3J9v4MtxPsytkCbb-ZPz3ScQFcxKeSqI2jw7AAtnZ&quot;,&quot;status&quot;:1,&quot;uploadSessionUrl&quot;:null}]"/>
    <m/>
    <s v="tE0ryXoWZkebXN1jjgDQD8gAFBwT"/>
    <m/>
    <m/>
    <m/>
    <m/>
    <m/>
    <m/>
    <s v="Man :_x000a_Methode :_x000a_Materials :_x000a_Machine/Jig :"/>
    <s v="Panel Display Stuck on Loading UI"/>
    <s v="Communication Error"/>
    <s v=" CSIC Check when Initial Power On NG"/>
    <s v="PIN CSIC Broken "/>
    <s v="Possibillity Missing Checkpoint at Sub Assy 2nd Floor"/>
    <s v="1. Panel Display Stuck on Loading UI_x000a_2. Communication Error_x000a_3.  CSIC Check when Initial Power On NG_x000a_4. PIN CSIC Broken _x000a_5. Possibillity Missing Checkpoint at Sub Assy 2nd Floor"/>
    <s v="PIN CSIC Broken "/>
    <m/>
    <m/>
    <s v="Rework Stock WIP and Propose to deep Analyze by IH Engineering"/>
    <s v="Nazar Bagus H."/>
  </r>
  <r>
    <s v="AR250609113730"/>
    <s v="RP250609073658"/>
    <x v="93"/>
    <d v="2025-06-09T00:00:00"/>
    <s v="Takatsu-4 Autocutter"/>
    <m/>
    <m/>
    <s v="TKSAL-017"/>
    <s v="Paper Jam"/>
    <x v="5"/>
    <m/>
    <s v="Operator"/>
    <s v="MA10-Printing"/>
    <s v="During Initial Paper Loading at Printing Stage"/>
    <m/>
    <m/>
    <s v="Saat louding "/>
    <s v="During initial loading paper at Printing Stage, found Paper Jam [After paper touch Jam Detector Platen Unit]"/>
    <s v="[{&quot;name&quot;:&quot;Paper Jam_Zainul Muttaqin.png&quot;,&quot;link&quot;:&quot;https://epsongroup-my.sharepoint.com/personal/brian_ramdhani_epson_co_id/Documents/Apps/Microsoft%20Forms/TAKATSU%20ANALYZE%20REPORT/Question/Paper%20Jam_Zainul%20Muttaqin.png&quot;,&quot;id&quot;:&quot;01D6UVHSKKJNRF3TELRJAKJ5Y57UFYRYHL&quot;,&quot;type&quot;:null,&quot;size&quot;:413012,&quot;referenceId&quot;:&quot;01D6UVHSOX5DG5RX522VGYFCV365U3UBU3&quot;,&quot;driveId&quot;:&quot;b!7qg8FsnQY0iiT36_x6Novv_3J9v4MtxPsytkCbb-ZPz3ScQFcxKeSqI2jw7AAtnZ&quot;,&quot;status&quot;:1,&quot;uploadSessionUrl&quot;:null}]"/>
    <m/>
    <s v="3CmjYEB6N0i5PEOT8CjGmMgAApJV"/>
    <m/>
    <m/>
    <m/>
    <m/>
    <m/>
    <m/>
    <s v="Man :_x000a_Methode :_x000a_Materials :_x000a_Machine/Jig :"/>
    <s v="Paper Jam"/>
    <s v="Palaten Unit NG"/>
    <s v="Rubber Roller Platen Unit Unposition [Rubber roller rotation obstructed]"/>
    <m/>
    <m/>
    <s v="1. Paper Jam_x000a_2. Palaten Unit NG_x000a_3. Rubber Roller Platen Unit Unposition [Rubber roller rotation obstructed]_x000a_4. _x000a_5. "/>
    <s v="Rubber Roller Platen Unit Unposition by Vendor"/>
    <m/>
    <m/>
    <s v="Emphasizing checkpoints such as mention on SWP and visual check before assembly rubber roller"/>
    <s v="Zainul Muttaqin"/>
  </r>
  <r>
    <s v="AR250609044636"/>
    <s v="RP250609072523"/>
    <x v="93"/>
    <d v="2025-06-09T00:00:00"/>
    <s v="Takatsu-4 Autocutter"/>
    <m/>
    <m/>
    <s v="Wait Pape"/>
    <s v="Wait Paper Remove"/>
    <x v="66"/>
    <m/>
    <s v="Operator"/>
    <s v="MA08-Internal"/>
    <s v="During Initial Setting at Intemal Stage"/>
    <m/>
    <m/>
    <s v="Saat proses airleak"/>
    <s v="During Initial Setting at Internal Stage, panel shown Wait Paper Remove"/>
    <s v="[{&quot;name&quot;:&quot;Wait Paper Remove_Zainul Muttaqin.jpg&quot;,&quot;link&quot;:&quot;https://epsongroup-my.sharepoint.com/personal/brian_ramdhani_epson_co_id/Documents/Apps/Microsoft%20Forms/TAKATSU%20ANALYZE%20REPORT/Question/Wait%20Paper%20Remove_Zainul%20Muttaqin.jpg&quot;,&quot;id&quot;:&quot;01D6UVHSI5S3SSZVJMBZBKH7V3RYLFMD4X&quot;,&quot;type&quot;:null,&quot;size&quot;:37868,&quot;referenceId&quot;:&quot;01D6UVHSOX5DG5RX522VGYFCV365U3UBU3&quot;,&quot;driveId&quot;:&quot;b!7qg8FsnQY0iiT36_x6Novv_3J9v4MtxPsytkCbb-ZPz3ScQFcxKeSqI2jw7AAtnZ&quot;,&quot;status&quot;:1,&quot;uploadSessionUrl&quot;:null}]"/>
    <m/>
    <s v="0LYgXHTkXki33Ey9y-dx-cgAFTvp"/>
    <m/>
    <m/>
    <m/>
    <m/>
    <m/>
    <m/>
    <s v="Man :_x000a_Methode :_x000a_Materials :_x000a_Machine/Jig :"/>
    <s v="Wait Paper Remove"/>
    <s v="PGU Unit NG"/>
    <s v="Harness detector PGU Unit was broken [4M Change Manpower stage PGU Unit]"/>
    <m/>
    <m/>
    <s v="1. Wait Paper Remove_x000a_2. PGU Unit NG_x000a_3. Harness detector PGU Unit was broken [4M Change Manpower stage PGU Unit]_x000a_4. _x000a_5. "/>
    <s v="Harness Detector was broken possibility occured due to mistake assembly by OPR [4M Change Manpower SA PGU Unit]"/>
    <m/>
    <m/>
    <s v="Reminding and training OPR stage PGU Unit that must follow checkpoint such as on SWP"/>
    <s v="Zainul Muttaqin"/>
  </r>
  <r>
    <s v="AR250610090639"/>
    <s v="RP250610040908"/>
    <x v="94"/>
    <d v="2025-06-10T00:00:00"/>
    <s v="Takatsu-4 Autocutter"/>
    <m/>
    <m/>
    <s v="TKSAL-010"/>
    <s v="DO"/>
    <x v="2"/>
    <m/>
    <s v="Operator"/>
    <s v="MA10-Printing"/>
    <s v="During Check Result Printing"/>
    <m/>
    <m/>
    <s v="Jig 08"/>
    <s v="During printing process, Find NG DO in Printing Result"/>
    <s v="[{&quot;name&quot;:&quot;False Reject_M. Dzaki_Muhammad Dzaki Taufi.png&quot;,&quot;link&quot;:&quot;https://epsongroup-my.sharepoint.com/personal/brian_ramdhani_epson_co_id/Documents/Apps/Microsoft%20Forms/TAKATSU%20ANALYZE%20REPORT/Question/False%20Reject_M.%20Dzaki_Muhammad%20Dzaki%20Taufi.png&quot;,&quot;id&quot;:&quot;01D6UVHSNNM4RPUQ4CKRBYPMIQQYDPZA7K&quot;,&quot;type&quot;:null,&quot;size&quot;:1313,&quot;referenceId&quot;:&quot;01D6UVHSOX5DG5RX522VGYFCV365U3UBU3&quot;,&quot;driveId&quot;:&quot;b!7qg8FsnQY0iiT36_x6Novv_3J9v4MtxPsytkCbb-ZPz3ScQFcxKeSqI2jw7AAtnZ&quot;,&quot;status&quot;:1,&quot;uploadSessionUrl&quot;:null}]"/>
    <m/>
    <s v="TF17vbVRpUyUjhTQ_Bh4vcgALpj2"/>
    <m/>
    <m/>
    <m/>
    <m/>
    <m/>
    <m/>
    <s v="Man :_x000a_Methode :_x000a_Materials :_x000a_Machine/Jig :"/>
    <m/>
    <m/>
    <m/>
    <m/>
    <m/>
    <s v="1. _x000a_2. _x000a_3. _x000a_4. _x000a_5. "/>
    <s v="False Reject. After Wiping PH, Product become OK"/>
    <m/>
    <m/>
    <s v="Re-Initial Charge in Line OK"/>
    <s v="Muhammad Dzaki Taufiqurrahman Kismana"/>
  </r>
  <r>
    <s v="AR250610065609"/>
    <s v="RP250611072215"/>
    <x v="94"/>
    <d v="2025-06-11T00:00:00"/>
    <s v="Takatsu-8 Autocutter"/>
    <m/>
    <m/>
    <s v="TKSAL-019"/>
    <s v="Peeler Unit Noise"/>
    <x v="28"/>
    <m/>
    <s v="Operator"/>
    <s v="MA10-Printing"/>
    <s v="During Printing inspection"/>
    <m/>
    <m/>
    <s v="Jig 08"/>
    <s v="Not Heard NG During Confirmation (False Reject)"/>
    <s v="[{&quot;name&quot;:&quot;False Reject_Nazar Bagus H. 25.PNG&quot;,&quot;link&quot;:&quot;https://epsongroup-my.sharepoint.com/personal/brian_ramdhani_epson_co_id/Documents/Apps/Microsoft%20Forms/TAKATSU%20ANALYZE%20REPORT/Question/False%20Reject_Nazar%20Bagus%20H.%2025.PNG&quot;,&quot;id&quot;:&quot;01D6UVHSJHMUWXOIPX3FE3YSHKGR5EW7DP&quot;,&quot;type&quot;:null,&quot;size&quot;:1313,&quot;referenceId&quot;:&quot;01D6UVHSOX5DG5RX522VGYFCV365U3UBU3&quot;,&quot;driveId&quot;:&quot;b!7qg8FsnQY0iiT36_x6Novv_3J9v4MtxPsytkCbb-ZPz3ScQFcxKeSqI2jw7AAtnZ&quot;,&quot;status&quot;:1,&quot;uploadSessionUrl&quot;:null}]"/>
    <m/>
    <s v="ElhikuRrTk-KVIMiZnX-S8gABT-y"/>
    <m/>
    <m/>
    <m/>
    <m/>
    <m/>
    <m/>
    <s v="Man :_x000a_Methode :_x000a_Materials :_x000a_Machine/Jig :"/>
    <m/>
    <m/>
    <m/>
    <m/>
    <m/>
    <s v="1. _x000a_2. _x000a_3. _x000a_4. _x000a_5. "/>
    <s v="Not NG"/>
    <m/>
    <m/>
    <s v="Not NG"/>
    <s v="Nazar Bagus H."/>
  </r>
  <r>
    <s v="AR250611112128"/>
    <s v="RP250612072442"/>
    <x v="95"/>
    <d v="2025-06-12T00:00:00"/>
    <s v="Takatsu-8 Peeler"/>
    <m/>
    <m/>
    <s v="TKSAL-017"/>
    <s v="Paper Jam"/>
    <x v="5"/>
    <m/>
    <s v="Operator"/>
    <s v="MA09-PG Adjustment [Setting 1]"/>
    <s v="During Internal Inspection"/>
    <m/>
    <m/>
    <s v="Saat proses kalibrasi label sensor"/>
    <s v="During Label Sensor Calibration Check, heard High Pitch noise on Peeler Unit, then appear Paper Jam"/>
    <s v="[{&quot;name&quot;:&quot;FFC Peeler Peeled Off_Nazar Bagus H..jpg&quot;,&quot;link&quot;:&quot;https://epsongroup-my.sharepoint.com/personal/brian_ramdhani_epson_co_id/Documents/Apps/Microsoft%20Forms/TAKATSU%20ANALYZE%20REPORT/Question/FFC%20Peeler%20Peeled%20Off_Nazar%20Bagus%20H..jpg&quot;,&quot;id&quot;:&quot;01D6UVHSLGTKWOEPNWDNCYAHX6NLTGC3Z3&quot;,&quot;type&quot;:null,&quot;size&quot;:70630,&quot;referenceId&quot;:&quot;01D6UVHSOX5DG5RX522VGYFCV365U3UBU3&quot;,&quot;driveId&quot;:&quot;b!7qg8FsnQY0iiT36_x6Novv_3J9v4MtxPsytkCbb-ZPz3ScQFcxKeSqI2jw7AAtnZ&quot;,&quot;status&quot;:1,&quot;uploadSessionUrl&quot;:null}]"/>
    <m/>
    <s v="JUjH6L_ii0q-wPOt4lXCOcgAO0So"/>
    <m/>
    <m/>
    <m/>
    <m/>
    <m/>
    <m/>
    <s v="Man :_x000a_Methode :_x000a_Materials :_x000a_Machine/Jig :"/>
    <s v="Paper Jam"/>
    <s v="Rotation of Paper feed and Peeler feed Unmatch"/>
    <s v="FFC Peeler Peeled Off"/>
    <s v="Possibility Operator not Connect FFC Peeler to Sub-B Correctly"/>
    <s v="Possibility Assembly Process"/>
    <s v="1. Paper Jam_x000a_2. Rotation of Paper feed and Peeler feed Unmatch_x000a_3. FFC Peeler Peeled Off_x000a_4. Possibility Operator not Connect FFC Peeler to Sub-B Correctly_x000a_5. Possibility Assembly Process"/>
    <s v="FFC Peeler Peeled Off"/>
    <m/>
    <m/>
    <s v="Change FFC Peeler OK"/>
    <s v="Nazar Bagus H."/>
  </r>
  <r>
    <s v="AR250611032803"/>
    <s v="RP250612074622"/>
    <x v="95"/>
    <d v="2025-06-12T00:00:00"/>
    <s v="Takatsu-8 Peeler"/>
    <m/>
    <m/>
    <s v="TKSAL-003"/>
    <s v="Abnormal Paper Loading"/>
    <x v="10"/>
    <m/>
    <s v="Operator"/>
    <s v="MA10-Printing"/>
    <s v="During Printing Inspection"/>
    <m/>
    <m/>
    <s v="Jig 01"/>
    <s v="During Loading Paper using Peeler Unit, Paper Stuck on Peeler Unit"/>
    <s v="[{&quot;name&quot;:&quot;Paper Jam Peeler_Nazar Bagus H..png&quot;,&quot;link&quot;:&quot;https://epsongroup-my.sharepoint.com/personal/brian_ramdhani_epson_co_id/Documents/Apps/Microsoft%20Forms/TAKATSU%20ANALYZE%20REPORT/Question/Paper%20Jam%20Peeler_Nazar%20Bagus%20H..png&quot;,&quot;id&quot;:&quot;01D6UVHSMICBXRMVNGJNDZ2N4D75OU4H55&quot;,&quot;type&quot;:null,&quot;size&quot;:1266223,&quot;referenceId&quot;:&quot;01D6UVHSOX5DG5RX522VGYFCV365U3UBU3&quot;,&quot;driveId&quot;:&quot;b!7qg8FsnQY0iiT36_x6Novv_3J9v4MtxPsytkCbb-ZPz3ScQFcxKeSqI2jw7AAtnZ&quot;,&quot;status&quot;:1,&quot;uploadSessionUrl&quot;:null}]"/>
    <m/>
    <s v="40vfZzQOJ0OlW9wFw6_0_cgAEZHp"/>
    <m/>
    <m/>
    <m/>
    <m/>
    <m/>
    <m/>
    <s v="Man :_x000a_Methode :_x000a_Materials :_x000a_Machine/Jig :"/>
    <s v="Paper Loading Stuck on Peeler Unit"/>
    <s v="Unbalance Pressure on Peeler Unit"/>
    <s v="Holder Peeler Press Unit not Properly Screwed into frame"/>
    <s v="Assembly Problem"/>
    <s v="4M Man Power (Assembled by Wije)"/>
    <s v="1. Paper Loading Stuck on Peeler Unit_x000a_2. Unbalance Pressure on Peeler Unit_x000a_3. Holder Peeler Press Unit not Properly Screwed into frame_x000a_4. Assembly Problem_x000a_5. 4M Man Power (Assembled by Wije)"/>
    <s v="Holder Peeler Press not Properly Crewed into Frame Holder Peeler Press"/>
    <m/>
    <m/>
    <s v="Change Holder Peeler Press"/>
    <s v="Nazar Bagus H."/>
  </r>
  <r>
    <s v="AR250613111239"/>
    <s v="RP250617112432"/>
    <x v="96"/>
    <d v="2025-06-17T00:00:00"/>
    <s v="Takatsu-8 Autocutter"/>
    <m/>
    <m/>
    <s v="TKSFE-003"/>
    <s v="Fatal Error 6727"/>
    <x v="67"/>
    <m/>
    <s v="Operator"/>
    <s v="MA09-PG Adjustment [Setting 1]"/>
    <s v="During Internal Inspection"/>
    <m/>
    <m/>
    <s v="Setelah power on"/>
    <s v="When Initial Power on, Appear Fatal Error 6725 on LCD Screen"/>
    <s v="[{&quot;name&quot;:&quot;FE 6725_Nazar Bagus H..jpg&quot;,&quot;link&quot;:&quot;https://epsongroup-my.sharepoint.com/personal/brian_ramdhani_epson_co_id/Documents/Apps/Microsoft%20Forms/TAKATSU%20ANALYZE%20REPORT/Question/FE%206725_Nazar%20Bagus%20H..jpg&quot;,&quot;id&quot;:&quot;01D6UVHSMUNVS7QOVT6RG234THHN3HKY7D&quot;,&quot;type&quot;:null,&quot;size&quot;:14203,&quot;referenceId&quot;:&quot;01D6UVHSOX5DG5RX522VGYFCV365U3UBU3&quot;,&quot;driveId&quot;:&quot;b!7qg8FsnQY0iiT36_x6Novv_3J9v4MtxPsytkCbb-ZPz3ScQFcxKeSqI2jw7AAtnZ&quot;,&quot;status&quot;:1,&quot;uploadSessionUrl&quot;:null}]"/>
    <m/>
    <s v="v4DlOBNX_kCujDKFMiDDUsgAOVMB"/>
    <m/>
    <m/>
    <m/>
    <m/>
    <m/>
    <m/>
    <s v="Man :_x000a_Methode :_x000a_Materials :_x000a_Machine/Jig :"/>
    <m/>
    <m/>
    <m/>
    <m/>
    <m/>
    <s v="1. _x000a_2. _x000a_3. _x000a_4. _x000a_5. "/>
    <s v="Print Head NG"/>
    <m/>
    <m/>
    <s v="Change Print Head then Power On Off 10x OK"/>
    <s v="Nazar Bagus H."/>
  </r>
  <r>
    <s v="AR250616102445"/>
    <s v="RP250619073629"/>
    <x v="97"/>
    <d v="2025-06-19T00:00:00"/>
    <s v="Takatsu-8 Autocutter"/>
    <m/>
    <m/>
    <s v="TKSAL-010"/>
    <s v="DO"/>
    <x v="2"/>
    <m/>
    <s v="Operator"/>
    <s v="MA10-Printing"/>
    <s v="During Check Result Printing "/>
    <m/>
    <m/>
    <s v="Jig 04"/>
    <s v="During printing process, Find NG DO in result Nozzle Check"/>
    <s v="[{&quot;name&quot;:&quot;1750040762226_Muhammad Dzaki Taufi.jpg&quot;,&quot;link&quot;:&quot;https://epsongroup-my.sharepoint.com/personal/brian_ramdhani_epson_co_id/Documents/Apps/Microsoft%20Forms/TAKATSU%20ANALYZE%20REPORT/Question/1750040762226_Muhammad%20Dzaki%20Taufi.jpg&quot;,&quot;id&quot;:&quot;01D6UVHSKGUFA6AOZDDJF2MCMG43F3VSY7&quot;,&quot;type&quot;:null,&quot;size&quot;:4671223,&quot;referenceId&quot;:&quot;01D6UVHSOX5DG5RX522VGYFCV365U3UBU3&quot;,&quot;driveId&quot;:&quot;b!7qg8FsnQY0iiT36_x6Novv_3J9v4MtxPsytkCbb-ZPz3ScQFcxKeSqI2jw7AAtnZ&quot;,&quot;status&quot;:1,&quot;uploadSessionUrl&quot;:null}]"/>
    <m/>
    <s v="Woz1Je4h70KFLTtAh8Aof8gACH60"/>
    <m/>
    <m/>
    <m/>
    <m/>
    <m/>
    <m/>
    <s v="Man :_x000a_Methode :_x000a_Materials :_x000a_Machine/Jig :"/>
    <m/>
    <m/>
    <m/>
    <m/>
    <m/>
    <s v="1. _x000a_2. _x000a_3. _x000a_4. _x000a_5. "/>
    <s v="Still Analyze by Collecting NVT Data"/>
    <m/>
    <m/>
    <s v="Change PH"/>
    <s v="Muhammad Dzaki Taufiqurrahman Kismana"/>
  </r>
  <r>
    <s v="AR250616111434"/>
    <s v="RP250617112618"/>
    <x v="97"/>
    <d v="2025-06-17T00:00:00"/>
    <s v="Takatsu-8 Autocutter"/>
    <m/>
    <m/>
    <s v="TKSAL-005"/>
    <s v="Abnormal Power On"/>
    <x v="68"/>
    <m/>
    <s v="Operator"/>
    <s v="MA08-Internal"/>
    <s v="During Internal Inspection"/>
    <m/>
    <m/>
    <s v="Power on"/>
    <s v="False Reject"/>
    <s v="[{&quot;name&quot;:&quot;False Reject_Nazar Bagus H. 27.PNG&quot;,&quot;link&quot;:&quot;https://epsongroup-my.sharepoint.com/personal/brian_ramdhani_epson_co_id/Documents/Apps/Microsoft%20Forms/TAKATSU%20ANALYZE%20REPORT/Question/False%20Reject_Nazar%20Bagus%20H.%2027.PNG&quot;,&quot;id&quot;:&quot;01D6UVHSKLHRQVU4WWLBEYLMFQK6INL5UO&quot;,&quot;type&quot;:null,&quot;size&quot;:1313,&quot;referenceId&quot;:&quot;01D6UVHSOX5DG5RX522VGYFCV365U3UBU3&quot;,&quot;driveId&quot;:&quot;b!7qg8FsnQY0iiT36_x6Novv_3J9v4MtxPsytkCbb-ZPz3ScQFcxKeSqI2jw7AAtnZ&quot;,&quot;status&quot;:1,&quot;uploadSessionUrl&quot;:null}]"/>
    <m/>
    <s v="mx6ARDHS-0uiKniggLT9scgAM2sH"/>
    <m/>
    <m/>
    <m/>
    <m/>
    <m/>
    <m/>
    <s v="Man :_x000a_Methode :_x000a_Materials :_x000a_Machine/Jig :"/>
    <m/>
    <m/>
    <m/>
    <m/>
    <m/>
    <s v="1. _x000a_2. _x000a_3. _x000a_4. _x000a_5. "/>
    <s v="Not NG"/>
    <m/>
    <m/>
    <s v="Not NG"/>
    <s v="Nazar Bagus H."/>
  </r>
  <r>
    <s v="AR250616020217"/>
    <s v="RP250619073234"/>
    <x v="97"/>
    <d v="2025-06-19T00:00:00"/>
    <s v="Takatsu-8 Autocutter"/>
    <m/>
    <m/>
    <s v="TKSAL-027"/>
    <s v="Unstable Printing"/>
    <x v="14"/>
    <m/>
    <s v="Operator"/>
    <s v="MA10-Printing"/>
    <s v="During Check Result Printing "/>
    <m/>
    <m/>
    <s v="Jig 06"/>
    <s v="During printing process, Find NG Unstable in result Nozzle Check"/>
    <s v="[{&quot;name&quot;:&quot;False Reject_M. Dzaki_Muhammad Dzaki Taufi 1.png&quot;,&quot;link&quot;:&quot;https://epsongroup-my.sharepoint.com/personal/brian_ramdhani_epson_co_id/Documents/Apps/Microsoft%20Forms/TAKATSU%20ANALYZE%20REPORT/Question/False%20Reject_M.%20Dzaki_Muhammad%20Dzaki%20Taufi%201.png&quot;,&quot;id&quot;:&quot;01D6UVHSKL5FS5P5KUURBLMNNHPPE6JNFT&quot;,&quot;type&quot;:null,&quot;size&quot;:1313,&quot;referenceId&quot;:&quot;01D6UVHSOX5DG5RX522VGYFCV365U3UBU3&quot;,&quot;driveId&quot;:&quot;b!7qg8FsnQY0iiT36_x6Novv_3J9v4MtxPsytkCbb-ZPz3ScQFcxKeSqI2jw7AAtnZ&quot;,&quot;status&quot;:1,&quot;uploadSessionUrl&quot;:null}]"/>
    <m/>
    <s v="QlRZQl3C3U2lD_gYBeE0GcgAGIt3"/>
    <m/>
    <m/>
    <m/>
    <m/>
    <m/>
    <m/>
    <s v="Man :_x000a_Methode :_x000a_Materials :_x000a_Machine/Jig :"/>
    <m/>
    <m/>
    <m/>
    <m/>
    <m/>
    <s v="1. _x000a_2. _x000a_3. _x000a_4. _x000a_5. "/>
    <s v="False Reject"/>
    <m/>
    <m/>
    <s v="After Wiping PH. Re-initial Ink Discharge Process, Product become OK"/>
    <s v="Muhammad Dzaki Taufiqurrahman Kismana"/>
  </r>
  <r>
    <s v="AR250617104028"/>
    <s v="RP250618071757"/>
    <x v="98"/>
    <d v="2025-06-18T00:00:00"/>
    <s v="Takatsu-4 Autocutter"/>
    <m/>
    <m/>
    <s v="TKSFE-007"/>
    <s v="Fatal Error 5853"/>
    <x v="48"/>
    <m/>
    <s v="Operator"/>
    <s v="MA10-Printing"/>
    <s v="During Printing Inspection"/>
    <m/>
    <m/>
    <s v="Saat inkcharge"/>
    <s v="Appear Fatal Error 5853 During Printing Process"/>
    <s v="[{&quot;name&quot;:&quot;5853_Nazar Bagus H..png&quot;,&quot;link&quot;:&quot;https://epsongroup-my.sharepoint.com/personal/brian_ramdhani_epson_co_id/Documents/Apps/Microsoft%20Forms/TAKATSU%20ANALYZE%20REPORT/Question/5853_Nazar%20Bagus%20H..png&quot;,&quot;id&quot;:&quot;01D6UVHSIZHNGBFFNYSBHILRUKD5ZYK5YQ&quot;,&quot;type&quot;:null,&quot;size&quot;:245273,&quot;referenceId&quot;:&quot;01D6UVHSOX5DG5RX522VGYFCV365U3UBU3&quot;,&quot;driveId&quot;:&quot;b!7qg8FsnQY0iiT36_x6Novv_3J9v4MtxPsytkCbb-ZPz3ScQFcxKeSqI2jw7AAtnZ&quot;,&quot;status&quot;:1,&quot;uploadSessionUrl&quot;:null}]"/>
    <m/>
    <s v="Dk_UWPpTW02ndnnYSC44XMgADp_0"/>
    <m/>
    <m/>
    <m/>
    <m/>
    <m/>
    <m/>
    <s v="Man :_x000a_Methode :_x000a_Materials :_x000a_Machine/Jig :"/>
    <m/>
    <m/>
    <m/>
    <m/>
    <m/>
    <s v="1. _x000a_2. _x000a_3. _x000a_4. _x000a_5. "/>
    <s v="Jig Dummy Ink Cartridge NG"/>
    <m/>
    <m/>
    <s v="Move to Another JIG Printing OK"/>
    <s v="Nazar Bagus H."/>
  </r>
  <r>
    <s v="AR250617110713"/>
    <m/>
    <x v="98"/>
    <m/>
    <s v="Takatsu-4 Autocutter"/>
    <m/>
    <m/>
    <e v="#N/A"/>
    <m/>
    <x v="7"/>
    <m/>
    <m/>
    <s v="MA09-PG Adjustment [Setting 1]"/>
    <m/>
    <m/>
    <m/>
    <s v="Saat proses mnu measurment"/>
    <m/>
    <m/>
    <m/>
    <s v="CW1hv_6q0kum_KRy1qLl-sgAI1mP"/>
    <m/>
    <m/>
    <m/>
    <m/>
    <m/>
    <m/>
    <m/>
    <m/>
    <m/>
    <m/>
    <m/>
    <m/>
    <m/>
    <m/>
    <m/>
    <m/>
    <m/>
    <m/>
  </r>
  <r>
    <s v="AR250617024457"/>
    <m/>
    <x v="98"/>
    <m/>
    <s v="Takatsu-4 Autocutter"/>
    <m/>
    <m/>
    <e v="#N/A"/>
    <m/>
    <x v="69"/>
    <m/>
    <m/>
    <s v="MA09-PG Adjustment [Setting 1]"/>
    <m/>
    <m/>
    <m/>
    <s v="Saat proses applicator "/>
    <m/>
    <m/>
    <m/>
    <s v="yjXko1DgUEikDnMCwxIfVcgAN8jK"/>
    <m/>
    <m/>
    <m/>
    <m/>
    <m/>
    <m/>
    <m/>
    <m/>
    <m/>
    <m/>
    <m/>
    <m/>
    <m/>
    <m/>
    <m/>
    <m/>
    <m/>
    <m/>
  </r>
  <r>
    <s v="AR250617052433"/>
    <s v="RP250618072326"/>
    <x v="98"/>
    <d v="2025-06-18T00:00:00"/>
    <s v="Takatsu-4 Autocutter"/>
    <m/>
    <m/>
    <s v="Slack Sen"/>
    <s v="Slack Sensor Calibration NG"/>
    <x v="70"/>
    <m/>
    <s v="Operator"/>
    <s v="MA10-Printing"/>
    <s v="During Internal Inspection"/>
    <m/>
    <m/>
    <s v="Saat proses slack sensor calibration"/>
    <s v="During Slack Sensor Calibration Check Result NG"/>
    <s v="[{&quot;name&quot;:&quot;FFC Peeler Peeled off (Paper Jam)_Nazar Bagus H..jpg&quot;,&quot;link&quot;:&quot;https://epsongroup-my.sharepoint.com/personal/brian_ramdhani_epson_co_id/Documents/Apps/Microsoft%20Forms/TAKATSU%20ANALYZE%20REPORT/Question/FFC%20Peeler%20Peeled%20off%20(Paper%20Jam)_Nazar%20Bagus%20H..jpg&quot;,&quot;id&quot;:&quot;01D6UVHSIKXDLQXIYWORAZW5DC5L7GJPP4&quot;,&quot;type&quot;:null,&quot;size&quot;:58544,&quot;referenceId&quot;:&quot;01D6UVHSOX5DG5RX522VGYFCV365U3UBU3&quot;,&quot;driveId&quot;:&quot;b!7qg8FsnQY0iiT36_x6Novv_3J9v4MtxPsytkCbb-ZPz3ScQFcxKeSqI2jw7AAtnZ&quot;,&quot;status&quot;:1,&quot;uploadSessionUrl&quot;:null}]"/>
    <m/>
    <s v="H2Pkv84nh0OyUdoYaFhWksgADZEm"/>
    <m/>
    <m/>
    <m/>
    <m/>
    <m/>
    <m/>
    <s v="Man :_x000a_Methode :_x000a_Materials :_x000a_Machine/Jig :"/>
    <m/>
    <m/>
    <m/>
    <m/>
    <m/>
    <s v="1. _x000a_2. _x000a_3. _x000a_4. _x000a_5. "/>
    <s v="FFC Sub Pin Broken (Peeled Off by Assembly Problem)"/>
    <m/>
    <m/>
    <s v="After Change FFC Sub Product Become OK"/>
    <s v="Nazar Bagus H."/>
  </r>
  <r>
    <s v="AR250618075705"/>
    <s v="RP250619074517"/>
    <x v="99"/>
    <d v="2025-06-19T00:00:00"/>
    <s v="Takatsu-4 Autocutter"/>
    <m/>
    <m/>
    <s v="TKSAL-002"/>
    <s v="Abnormal Noise"/>
    <x v="20"/>
    <m/>
    <s v="Operator"/>
    <s v="MA10-Printing"/>
    <s v="During Check Result Printing "/>
    <m/>
    <m/>
    <s v="Saat print cek"/>
    <s v="Heard Small Noise, During printing process"/>
    <s v="[{&quot;name&quot;:&quot;False Reject_M. Dzaki_Muhammad Dzaki Taufi 2.png&quot;,&quot;link&quot;:&quot;https://epsongroup-my.sharepoint.com/personal/brian_ramdhani_epson_co_id/Documents/Apps/Microsoft%20Forms/TAKATSU%20ANALYZE%20REPORT/Question/False%20Reject_M.%20Dzaki_Muhammad%20Dzaki%20Taufi%202.png&quot;,&quot;id&quot;:&quot;01D6UVHSKW2WRSM5ZHGJBKTM6U4EYYZZA2&quot;,&quot;type&quot;:null,&quot;size&quot;:1313,&quot;referenceId&quot;:&quot;01D6UVHSOX5DG5RX522VGYFCV365U3UBU3&quot;,&quot;driveId&quot;:&quot;b!7qg8FsnQY0iiT36_x6Novv_3J9v4MtxPsytkCbb-ZPz3ScQFcxKeSqI2jw7AAtnZ&quot;,&quot;status&quot;:1,&quot;uploadSessionUrl&quot;:null}]"/>
    <m/>
    <s v="FrvUZtv7JEG8CQChWpe468gACHzB"/>
    <m/>
    <m/>
    <m/>
    <m/>
    <m/>
    <m/>
    <s v="Man :_x000a_Methode :_x000a_Materials :_x000a_Machine/Jig :"/>
    <m/>
    <m/>
    <m/>
    <m/>
    <m/>
    <s v="1. _x000a_2. _x000a_3. _x000a_4. _x000a_5. "/>
    <s v="Not NG, Noise not identified as Abnormality"/>
    <m/>
    <m/>
    <s v="NOT NG"/>
    <s v="Muhammad Dzaki Taufiqurrahman Kismana"/>
  </r>
  <r>
    <s v="AR250618115920"/>
    <s v="RP250618070939"/>
    <x v="99"/>
    <d v="2025-06-18T00:00:00"/>
    <s v="Takatsu-4 Autocutter"/>
    <m/>
    <m/>
    <s v="TKSAL-017"/>
    <s v="Paper Jam"/>
    <x v="5"/>
    <m/>
    <s v="Operator"/>
    <s v="MA09-PG Adjustment [Setting 1]"/>
    <s v="During Internal Inspection"/>
    <m/>
    <m/>
    <s v="Saat proses label sensor kalibrasi"/>
    <s v="During Initial Paper Load. Product Cannot Pull Paper then Appear Paper Jam"/>
    <s v="[{&quot;name&quot;:&quot;Paper Jam FFC Not COnnect_Nazar Bagus H..jpg&quot;,&quot;link&quot;:&quot;https://epsongroup-my.sharepoint.com/personal/brian_ramdhani_epson_co_id/Documents/Apps/Microsoft%20Forms/TAKATSU%20ANALYZE%20REPORT/Question/Paper%20Jam%20FFC%20Not%20COnnect_Nazar%20Bagus%20H..jpg&quot;,&quot;id&quot;:&quot;01D6UVHSJBY3WVZFX73BGLNZYYV5SYW3H2&quot;,&quot;type&quot;:null,&quot;size&quot;:65816,&quot;referenceId&quot;:&quot;01D6UVHSOX5DG5RX522VGYFCV365U3UBU3&quot;,&quot;driveId&quot;:&quot;b!7qg8FsnQY0iiT36_x6Novv_3J9v4MtxPsytkCbb-ZPz3ScQFcxKeSqI2jw7AAtnZ&quot;,&quot;status&quot;:1,&quot;uploadSessionUrl&quot;:null}]"/>
    <m/>
    <s v="TgmqhTXgrUyYtydmktE7icgADUXu"/>
    <m/>
    <m/>
    <m/>
    <m/>
    <m/>
    <m/>
    <s v="Man :_x000a_Methode :_x000a_Materials :_x000a_Machine/Jig :"/>
    <m/>
    <m/>
    <m/>
    <m/>
    <m/>
    <s v="1. _x000a_2. _x000a_3. _x000a_4. _x000a_5. "/>
    <s v="FFC Roll Paper Pulled Off During Repair Process"/>
    <m/>
    <m/>
    <s v="Reconnect FFC Product Become OK"/>
    <s v="Nazar Bagus H."/>
  </r>
  <r>
    <s v="AR250618014337"/>
    <s v="RP250618071301"/>
    <x v="99"/>
    <d v="2025-06-18T00:00:00"/>
    <s v="Takatsu-4 Autocutter"/>
    <m/>
    <m/>
    <s v="TKSAL-011"/>
    <s v="Initial Setting NG"/>
    <x v="71"/>
    <m/>
    <s v="Operator"/>
    <s v="MA08-Internal"/>
    <s v="During Internal Inspection"/>
    <m/>
    <m/>
    <s v="Saat proses initial setting "/>
    <s v="During Initial Setting, Appear Wait Paper Remove (Paper End Sensor NG)"/>
    <s v="[{&quot;name&quot;:&quot;False Reject_Nazar Bagus H. 28.PNG&quot;,&quot;link&quot;:&quot;https://epsongroup-my.sharepoint.com/personal/brian_ramdhani_epson_co_id/Documents/Apps/Microsoft%20Forms/TAKATSU%20ANALYZE%20REPORT/Question/False%20Reject_Nazar%20Bagus%20H.%2028.PNG&quot;,&quot;id&quot;:&quot;01D6UVHSMDMXZKTGGM4JAJERRR73IK3XHM&quot;,&quot;type&quot;:null,&quot;size&quot;:1313,&quot;referenceId&quot;:&quot;01D6UVHSOX5DG5RX522VGYFCV365U3UBU3&quot;,&quot;driveId&quot;:&quot;b!7qg8FsnQY0iiT36_x6Novv_3J9v4MtxPsytkCbb-ZPz3ScQFcxKeSqI2jw7AAtnZ&quot;,&quot;status&quot;:1,&quot;uploadSessionUrl&quot;:null}]"/>
    <m/>
    <s v="DyrA0PuIc0mmOkM3BM2Ce8gAJGaD"/>
    <m/>
    <m/>
    <m/>
    <m/>
    <m/>
    <m/>
    <s v="Man :_x000a_Methode :_x000a_Materials :_x000a_Machine/Jig :"/>
    <m/>
    <m/>
    <m/>
    <m/>
    <m/>
    <s v="1. _x000a_2. _x000a_3. _x000a_4. _x000a_5. "/>
    <s v="NOT NG"/>
    <m/>
    <m/>
    <s v="After Reassy FFC Sub Product Become OK"/>
    <s v="Nazar Bagus H."/>
  </r>
  <r>
    <s v="AR250619075424"/>
    <s v="RP250619024947"/>
    <x v="100"/>
    <d v="2025-06-19T00:00:00"/>
    <s v="Takatsu-8 Autocutter"/>
    <m/>
    <m/>
    <s v="TKSFE-002"/>
    <s v="Fatal Error 5151"/>
    <x v="72"/>
    <m/>
    <s v="Operator"/>
    <s v="MA09-PG Adjustment [Setting 1]"/>
    <s v="During Internal Inspection"/>
    <m/>
    <m/>
    <s v="Setelah power on "/>
    <s v="During Initial Power On, MNU not Moving, then Appear Fatal Error"/>
    <s v="[{&quot;name&quot;:&quot;False Reject_Nazar Bagus H. 30.PNG&quot;,&quot;link&quot;:&quot;https://epsongroup-my.sharepoint.com/personal/brian_ramdhani_epson_co_id/Documents/Apps/Microsoft%20Forms/TAKATSU%20ANALYZE%20REPORT/Question/False%20Reject_Nazar%20Bagus%20H.%2030.PNG&quot;,&quot;id&quot;:&quot;01D6UVHSKAGZ7VX5VGRFCLEBSXXFIVMEKD&quot;,&quot;type&quot;:null,&quot;size&quot;:1313,&quot;referenceId&quot;:&quot;01D6UVHSOX5DG5RX522VGYFCV365U3UBU3&quot;,&quot;driveId&quot;:&quot;b!7qg8FsnQY0iiT36_x6Novv_3J9v4MtxPsytkCbb-ZPz3ScQFcxKeSqI2jw7AAtnZ&quot;,&quot;status&quot;:1,&quot;uploadSessionUrl&quot;:null}]"/>
    <m/>
    <s v="WekmcBCwvk-MY4sGiKwQAMgADfV8"/>
    <m/>
    <m/>
    <m/>
    <m/>
    <m/>
    <m/>
    <s v="Man :_x000a_Methode :_x000a_Materials :_x000a_Machine/Jig :"/>
    <m/>
    <m/>
    <m/>
    <m/>
    <m/>
    <s v="1. _x000a_2. _x000a_3. _x000a_4. _x000a_5. "/>
    <s v="Not NG"/>
    <m/>
    <m/>
    <s v="Re Insert FFC Sub in Line OK"/>
    <s v="Nazar Bagus H."/>
  </r>
  <r>
    <s v="AR250619075615"/>
    <s v="RP250619024435"/>
    <x v="100"/>
    <d v="2025-06-19T00:00:00"/>
    <s v="Takatsu-8 Autocutter"/>
    <m/>
    <m/>
    <s v="CR Scale "/>
    <s v="CR Scale Check NG"/>
    <x v="73"/>
    <m/>
    <s v="Operator"/>
    <s v="MA09-PG Adjustment [Setting 1]"/>
    <s v="During Internal Inspection"/>
    <m/>
    <m/>
    <s v="-"/>
    <s v="During CR Scale Check, Result Appear NG"/>
    <s v="[{&quot;name&quot;:&quot;CR Scale Check NG_Nazar Bagus H. 1.jpg&quot;,&quot;link&quot;:&quot;https://epsongroup-my.sharepoint.com/personal/brian_ramdhani_epson_co_id/Documents/Apps/Microsoft%20Forms/TAKATSU%20ANALYZE%20REPORT/Question/CR%20Scale%20Check%20NG_Nazar%20Bagus%20H.%201.jpg&quot;,&quot;id&quot;:&quot;01D6UVHSM3AUXM55226BELPCPGSXTQEJGM&quot;,&quot;type&quot;:null,&quot;size&quot;:54364,&quot;referenceId&quot;:&quot;01D6UVHSOX5DG5RX522VGYFCV365U3UBU3&quot;,&quot;driveId&quot;:&quot;b!7qg8FsnQY0iiT36_x6Novv_3J9v4MtxPsytkCbb-ZPz3ScQFcxKeSqI2jw7AAtnZ&quot;,&quot;status&quot;:1,&quot;uploadSessionUrl&quot;:null}]"/>
    <m/>
    <s v="808kAbhKkEmyy7jre2W0g8gAM8Il"/>
    <m/>
    <m/>
    <m/>
    <m/>
    <m/>
    <m/>
    <s v="Man :_x000a_Methode :_x000a_Materials :_x000a_Machine/Jig :"/>
    <m/>
    <m/>
    <m/>
    <m/>
    <m/>
    <s v="1. _x000a_2. _x000a_3. _x000a_4. _x000a_5. "/>
    <s v="Motor CR bending"/>
    <m/>
    <m/>
    <s v="Change Motor CR OK"/>
    <s v="Nazar Bagus H."/>
  </r>
  <r>
    <s v="AR250623022606"/>
    <m/>
    <x v="101"/>
    <m/>
    <s v="Takatsu-4 Peeler"/>
    <m/>
    <m/>
    <e v="#N/A"/>
    <m/>
    <x v="20"/>
    <m/>
    <m/>
    <s v="MA10-Printing"/>
    <m/>
    <m/>
    <m/>
    <s v="Saat inkcharge"/>
    <m/>
    <m/>
    <m/>
    <s v="VrauReBLG0iG9R6vl1wQv8gABbKH"/>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2E8BCA-6CE5-46EB-996C-8953E05D60C7}" name="PivotTable2"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0" firstHeaderRow="1" firstDataRow="1" firstDataCol="1" rowPageCount="1" colPageCount="1"/>
  <pivotFields count="39">
    <pivotField showAll="0"/>
    <pivotField showAll="0"/>
    <pivotField axis="axisPage" multipleItemSelectionAllowed="1" showAll="0">
      <items count="103">
        <item h="1" x="0"/>
        <item h="1" x="1"/>
        <item h="1" x="2"/>
        <item h="1" x="3"/>
        <item h="1" x="4"/>
        <item h="1" x="5"/>
        <item h="1" x="6"/>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h="1" x="7"/>
        <item t="default"/>
      </items>
    </pivotField>
    <pivotField showAll="0"/>
    <pivotField showAll="0"/>
    <pivotField showAll="0"/>
    <pivotField showAll="0"/>
    <pivotField showAll="0"/>
    <pivotField showAll="0"/>
    <pivotField axis="axisRow" dataField="1" showAll="0">
      <items count="75">
        <item x="35"/>
        <item x="31"/>
        <item x="15"/>
        <item x="20"/>
        <item x="56"/>
        <item x="62"/>
        <item x="65"/>
        <item x="10"/>
        <item x="0"/>
        <item x="12"/>
        <item x="32"/>
        <item x="45"/>
        <item x="69"/>
        <item x="55"/>
        <item x="34"/>
        <item x="30"/>
        <item x="25"/>
        <item x="73"/>
        <item x="13"/>
        <item x="3"/>
        <item x="8"/>
        <item x="2"/>
        <item x="39"/>
        <item x="72"/>
        <item x="36"/>
        <item x="48"/>
        <item x="67"/>
        <item x="17"/>
        <item x="49"/>
        <item x="11"/>
        <item x="42"/>
        <item x="52"/>
        <item x="4"/>
        <item x="37"/>
        <item x="60"/>
        <item x="22"/>
        <item x="16"/>
        <item x="18"/>
        <item x="46"/>
        <item x="68"/>
        <item x="53"/>
        <item x="24"/>
        <item x="7"/>
        <item x="43"/>
        <item x="71"/>
        <item x="51"/>
        <item x="26"/>
        <item x="38"/>
        <item x="58"/>
        <item x="63"/>
        <item x="33"/>
        <item x="54"/>
        <item x="5"/>
        <item x="66"/>
        <item x="21"/>
        <item x="28"/>
        <item x="6"/>
        <item x="59"/>
        <item x="1"/>
        <item x="19"/>
        <item x="41"/>
        <item x="27"/>
        <item x="9"/>
        <item x="70"/>
        <item x="64"/>
        <item x="50"/>
        <item x="23"/>
        <item x="40"/>
        <item x="44"/>
        <item x="47"/>
        <item x="57"/>
        <item x="29"/>
        <item x="14"/>
        <item x="6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7">
    <i>
      <x v="2"/>
    </i>
    <i>
      <x v="3"/>
    </i>
    <i>
      <x v="4"/>
    </i>
    <i>
      <x v="5"/>
    </i>
    <i>
      <x v="6"/>
    </i>
    <i>
      <x v="7"/>
    </i>
    <i>
      <x v="11"/>
    </i>
    <i>
      <x v="12"/>
    </i>
    <i>
      <x v="13"/>
    </i>
    <i>
      <x v="16"/>
    </i>
    <i>
      <x v="17"/>
    </i>
    <i>
      <x v="19"/>
    </i>
    <i>
      <x v="20"/>
    </i>
    <i>
      <x v="21"/>
    </i>
    <i>
      <x v="22"/>
    </i>
    <i>
      <x v="23"/>
    </i>
    <i>
      <x v="25"/>
    </i>
    <i>
      <x v="26"/>
    </i>
    <i>
      <x v="28"/>
    </i>
    <i>
      <x v="31"/>
    </i>
    <i>
      <x v="34"/>
    </i>
    <i>
      <x v="35"/>
    </i>
    <i>
      <x v="38"/>
    </i>
    <i>
      <x v="39"/>
    </i>
    <i>
      <x v="40"/>
    </i>
    <i>
      <x v="42"/>
    </i>
    <i>
      <x v="43"/>
    </i>
    <i>
      <x v="44"/>
    </i>
    <i>
      <x v="45"/>
    </i>
    <i>
      <x v="48"/>
    </i>
    <i>
      <x v="49"/>
    </i>
    <i>
      <x v="51"/>
    </i>
    <i>
      <x v="52"/>
    </i>
    <i>
      <x v="53"/>
    </i>
    <i>
      <x v="55"/>
    </i>
    <i>
      <x v="57"/>
    </i>
    <i>
      <x v="59"/>
    </i>
    <i>
      <x v="61"/>
    </i>
    <i>
      <x v="63"/>
    </i>
    <i>
      <x v="64"/>
    </i>
    <i>
      <x v="65"/>
    </i>
    <i>
      <x v="68"/>
    </i>
    <i>
      <x v="69"/>
    </i>
    <i>
      <x v="70"/>
    </i>
    <i>
      <x v="72"/>
    </i>
    <i>
      <x v="73"/>
    </i>
    <i t="grand">
      <x/>
    </i>
  </rowItems>
  <colItems count="1">
    <i/>
  </colItems>
  <pageFields count="1">
    <pageField fld="2" hier="-1"/>
  </pageFields>
  <dataFields count="1">
    <dataField name="Count of Defect Name" fld="9"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FDF93-9F45-42CC-8319-A098855D8A85}" name="Table1" displayName="Table1" ref="A1:AN306" totalsRowShown="0">
  <autoFilter ref="A1:AN306" xr:uid="{D48FDF93-9F45-42CC-8319-A098855D8A85}">
    <filterColumn colId="2">
      <filters blank="1">
        <dateGroupItem year="2025" month="9" dateTimeGrouping="month"/>
      </filters>
    </filterColumn>
  </autoFilter>
  <tableColumns count="40">
    <tableColumn id="9" xr3:uid="{1308A466-7BA8-4EFC-A46B-00DE800B2098}" name="Request No" dataDxfId="12"/>
    <tableColumn id="16" xr3:uid="{9778E07F-877D-450C-9ACC-3837C1101601}" name="RCA No"/>
    <tableColumn id="17" xr3:uid="{DCD62EDA-5F30-4B5E-BA8E-138D9256707C}" name="Date_of_Request" dataDxfId="11"/>
    <tableColumn id="14" xr3:uid="{0157B069-5DAC-4DBE-B254-4591EC7DF20E}" name="Date_of_Report" dataDxfId="10"/>
    <tableColumn id="2" xr3:uid="{5B16670B-88AA-496D-8B27-BCDD4179A0D4}" name="Model"/>
    <tableColumn id="38" xr3:uid="{B23F8A5E-B5AA-4B11-A832-B44F6BDE15EE}" name="Customer"/>
    <tableColumn id="39" xr3:uid="{9BCD9E88-9184-4F05-9FE8-7A2B53520A85}" name="Serial Number"/>
    <tableColumn id="13" xr3:uid="{E9DA86CB-D830-4ACB-B9A1-0D0883553945}" name="Def_ID" dataDxfId="9">
      <calculatedColumnFormula>VLOOKUP(Table1[[#This Row],[Official_Defect_Name]],Sheet2!$A:$F,2,FALSE)</calculatedColumnFormula>
    </tableColumn>
    <tableColumn id="15" xr3:uid="{B1084AD0-4B9D-46E6-B316-073DA024ACC3}" name="Official_Defect_Name"/>
    <tableColumn id="40" xr3:uid="{FBF980AA-E170-4A75-9D50-D3CDFECA2E9E}" name="Defect Category"/>
    <tableColumn id="3" xr3:uid="{2A366BB7-133C-47D6-B9F8-955DED8A2589}" name="Defect Name">
      <calculatedColumnFormula>UPPER(Table1[[#This Row],[Defect Name]])</calculatedColumnFormula>
    </tableColumn>
    <tableColumn id="30" xr3:uid="{50398341-2E4B-40B7-9BE2-99370FFE1112}" name="Severity_Level"/>
    <tableColumn id="22" xr3:uid="{8CBD539F-0CA7-4DF4-9D95-BEE703E79FFA}" name="Detect_By"/>
    <tableColumn id="4" xr3:uid="{5E86AD31-40D0-4D63-ADDE-DF99AB45C7E4}" name="Stage">
      <calculatedColumnFormula>UPPER(Table1[[#This Row],[Stage]])</calculatedColumnFormula>
    </tableColumn>
    <tableColumn id="19" xr3:uid="{6349F5C0-3777-4C02-B2A3-07CBA61CE400}" name="During_Process"/>
    <tableColumn id="20" xr3:uid="{3669E69E-596A-4276-B9AF-FA4ED56120E6}" name="How_Much"/>
    <tableColumn id="21" xr3:uid="{F0B0ABE7-4F15-4476-9CC1-836B7007B957}" name="Main_Impact"/>
    <tableColumn id="5" xr3:uid="{8D1F8B05-507F-4FCC-B51A-A375E62D070C}" name="Phenomenon"/>
    <tableColumn id="6" xr3:uid="{CD52B831-FF67-4425-BFF4-B34104CB6620}" name="Verify Phenomenon"/>
    <tableColumn id="7" xr3:uid="{C909EB63-372F-49BD-81A0-EB23FDDEE6C1}" name="Link Photo of Phenomenon" dataDxfId="8"/>
    <tableColumn id="1" xr3:uid="{6489E4FC-0854-4E97-A408-62E185A90ECF}" name="Url Photo"/>
    <tableColumn id="10" xr3:uid="{0C6F9FCB-2816-4EDF-A254-12A323C17B71}" name="Task Id"/>
    <tableColumn id="23" xr3:uid="{941E8A18-1DCE-4634-A796-3224E14D84CF}" name="Analyze_Process" dataCellStyle="Hyperlink"/>
    <tableColumn id="24" xr3:uid="{C17F14EB-5381-4871-861D-B53E08629E62}" name="Part_Replacement" dataCellStyle="Hyperlink"/>
    <tableColumn id="37" xr3:uid="{6412A6B1-D22D-4D98-A6CE-15FC8753A682}" name="Materials" dataCellStyle="Hyperlink"/>
    <tableColumn id="36" xr3:uid="{2F526C32-D865-4F2C-ACA4-6608C702C25C}" name="Machine/Jig" dataCellStyle="Hyperlink"/>
    <tableColumn id="35" xr3:uid="{D0206CFA-9112-4DFC-A8E7-F22215188A89}" name="Man" dataCellStyle="Hyperlink"/>
    <tableColumn id="34" xr3:uid="{776077C2-76B1-4A6F-805D-28829AB14885}" name="Methode" dataCellStyle="Hyperlink"/>
    <tableColumn id="25" xr3:uid="{D2F34F76-9934-40FC-8105-958739D4DC2F}" name="4M_Potential_Cause" dataCellStyle="Hyperlink"/>
    <tableColumn id="33" xr3:uid="{01CC22C3-D827-46C2-AF87-871B6F0312D4}" name="W0" dataCellStyle="Hyperlink"/>
    <tableColumn id="32" xr3:uid="{8E329588-F0FE-4360-87DA-36D746510DE4}" name="W1" dataCellStyle="Hyperlink"/>
    <tableColumn id="31" xr3:uid="{E2419EF1-D8C8-4448-A70A-B08CE9679F73}" name="W2" dataCellStyle="Hyperlink"/>
    <tableColumn id="27" xr3:uid="{323D122B-4C4A-465C-A02D-4294B3B60D86}" name="W3" dataCellStyle="Hyperlink"/>
    <tableColumn id="18" xr3:uid="{EF3FE667-4C79-4A6E-8AB2-D88A9277D0FF}" name="W4" dataCellStyle="Hyperlink"/>
    <tableColumn id="26" xr3:uid="{1BFB0CD8-85A6-42C7-865E-C1D302D7B066}" name="5-Why_Analyze" dataCellStyle="Hyperlink"/>
    <tableColumn id="11" xr3:uid="{E0C788E8-89A6-4324-A09B-8D996AC0E2D3}" name="Root Cause"/>
    <tableColumn id="28" xr3:uid="{65F4B3EF-B56D-4FF6-BD24-46DFC31C88DB}" name="Corrective_Action" dataCellStyle="Hyperlink"/>
    <tableColumn id="29" xr3:uid="{D48A71D8-A12C-458F-A5EF-1300ABEDBE09}" name="Preventive_Action" dataCellStyle="Hyperlink"/>
    <tableColumn id="8" xr3:uid="{6DA593BD-9D25-4093-ADE4-77AEC222AA56}" name="Action Item"/>
    <tableColumn id="12" xr3:uid="{6EA9D515-E620-40F9-9B51-C9A1ECEFF423}" name="Created By"/>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814D3B-A307-4207-8234-B8D2803FB70D}" name="Table3" displayName="Table3" ref="A1:F46" totalsRowShown="0">
  <autoFilter ref="A1:F46" xr:uid="{E2814D3B-A307-4207-8234-B8D2803FB70D}"/>
  <sortState xmlns:xlrd2="http://schemas.microsoft.com/office/spreadsheetml/2017/richdata2" ref="A2:F46">
    <sortCondition descending="1" ref="C1:C46"/>
  </sortState>
  <tableColumns count="6">
    <tableColumn id="1" xr3:uid="{CF57778E-7844-41B2-9769-4B48E2829C1A}" name="Defect_Name" dataDxfId="7"/>
    <tableColumn id="2" xr3:uid="{D1A9DC44-106B-4075-8274-C8F0D6BD6781}" name="Def_ID" dataDxfId="6"/>
    <tableColumn id="3" xr3:uid="{D4904CC1-D01B-4F64-9219-3D74A988C25A}" name="Total_Qty">
      <calculatedColumnFormula>COUNTIF(Table1[Def_ID],B2)</calculatedColumnFormula>
    </tableColumn>
    <tableColumn id="4" xr3:uid="{4C144CD2-A134-4632-AC32-B31BFE51BBAE}" name="Percentage" dataDxfId="5">
      <calculatedColumnFormula>C2/$G$1</calculatedColumnFormula>
    </tableColumn>
    <tableColumn id="6" xr3:uid="{31D1A653-6DB3-4FBA-B6AC-7B090232E618}" name="Task_ID" dataDxfId="4"/>
    <tableColumn id="5" xr3:uid="{C829F54D-DE15-4C35-BADF-2FB4342DBDC2}" name="Seve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68B047-9893-4FB6-94F2-4759D1406575}" name="Table2" displayName="Table2" ref="A1:AB17" totalsRowShown="0" headerRowDxfId="3" headerRowBorderDxfId="1" tableBorderDxfId="2">
  <autoFilter ref="A1:AB17" xr:uid="{CE68B047-9893-4FB6-94F2-4759D1406575}"/>
  <tableColumns count="28">
    <tableColumn id="1" xr3:uid="{5D4C7FC0-2F74-4074-A14C-BDEA5129FB3A}" name="RCA No"/>
    <tableColumn id="28" xr3:uid="{39F51C6E-D522-452B-B417-3D9BF29457D7}" name="Request No"/>
    <tableColumn id="2" xr3:uid="{7C9577CE-DF0E-419D-9D68-C64F7EEBB882}" name="Date_of_Request" dataDxfId="0"/>
    <tableColumn id="3" xr3:uid="{3B700916-22B1-407E-A953-64D5BA00FEFB}" name="Date_of_Report"/>
    <tableColumn id="4" xr3:uid="{1D591F10-323B-4A66-AA59-1CA365A7C0E7}" name="Model"/>
    <tableColumn id="5" xr3:uid="{DFAC6AA0-CB10-4348-8534-1ED55537B121}" name="Def_ID"/>
    <tableColumn id="6" xr3:uid="{1EA19DB2-F159-4234-98A5-7B18D9DF6C3D}" name="Official_Defect_Name"/>
    <tableColumn id="7" xr3:uid="{C4CB19BE-1BFD-44BA-B106-07C8522BBDB6}" name="Defect Name"/>
    <tableColumn id="8" xr3:uid="{15428571-EDEB-4D50-AB48-2A9E72A28FB7}" name="Severity_Level"/>
    <tableColumn id="9" xr3:uid="{714DA7BF-ADAF-4D58-ACE9-94C202CBEBA3}" name="Detect_By"/>
    <tableColumn id="10" xr3:uid="{B1CADD0E-7DE7-4E2E-B467-441562CC4D28}" name="Stage"/>
    <tableColumn id="11" xr3:uid="{C49FF8C7-EB57-4396-BE87-B335296636DE}" name="During_Process"/>
    <tableColumn id="12" xr3:uid="{D9644D3B-6235-419E-A79D-F638C6CC70D5}" name="How_Much"/>
    <tableColumn id="13" xr3:uid="{29DE76CF-9297-4745-99B0-0C24C6416FE2}" name="Main_Impact"/>
    <tableColumn id="14" xr3:uid="{43C3D95C-64AF-4913-89A5-0FD235E114AF}" name="Phenomenon"/>
    <tableColumn id="15" xr3:uid="{B279FABD-AE31-4E48-A254-D5892FA7F927}" name="Verify Phenomenon"/>
    <tableColumn id="16" xr3:uid="{5781A3A7-64D0-4899-B735-90FF8323A194}" name="Link Photo of Phenomenon"/>
    <tableColumn id="17" xr3:uid="{4293DB83-2DBB-4B62-A3A8-89073C8A8743}" name="Url Photo"/>
    <tableColumn id="18" xr3:uid="{C671B553-587F-4143-8CD7-5B01A97A3ABB}" name="Task Id"/>
    <tableColumn id="19" xr3:uid="{8553EDB1-9BDB-435C-8ED9-8A370BFE3329}" name="Analyze_Process"/>
    <tableColumn id="20" xr3:uid="{2D677975-06CC-4D0C-99B0-FB17EB8ADB75}" name="Part_Replacement"/>
    <tableColumn id="21" xr3:uid="{05D6834E-8C23-4871-A14F-772774AFEC86}" name="4M_Potential_Cause"/>
    <tableColumn id="22" xr3:uid="{C89FA289-337C-418F-83C0-AFA294075336}" name="5-Why_Analyze"/>
    <tableColumn id="23" xr3:uid="{CA3B6CA3-2A92-4507-9CA7-0B1A3A9B6C81}" name="Root Cause"/>
    <tableColumn id="24" xr3:uid="{86C1E783-08C8-4EE4-9F9E-5D042BFBA105}" name="Corrective_Action"/>
    <tableColumn id="25" xr3:uid="{4D80E2FF-6F2B-493E-88EB-80C895E8A8B0}" name="Preventive_Action"/>
    <tableColumn id="26" xr3:uid="{B2407AD2-C9A3-4337-971F-26B3207750F9}" name="Action Item"/>
    <tableColumn id="27" xr3:uid="{AC073340-8B45-4F34-9871-9F67181A5A0F}" name="Created B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psongroup-my.sharepoint.com/personal/brian_ramdhani_epson_co_id/Documents/Apps/Microsoft%20Forms/TAKATSU%20ANALYZE%20REPORT/Question/Rubber%20Unpost_Nazar%20Bagus%20H..jpg" TargetMode="External"/><Relationship Id="rId3" Type="http://schemas.openxmlformats.org/officeDocument/2006/relationships/hyperlink" Target="https://epsongroup-my.sharepoint.com/personal/brian_ramdhani_epson_co_id/Documents/Apps/Microsoft%20Forms/TAKATSU%20ANALYZE%20REPORT/Question/No%20Power_Zainul%20Muttaqin.png" TargetMode="External"/><Relationship Id="rId7" Type="http://schemas.openxmlformats.org/officeDocument/2006/relationships/hyperlink" Target="https://epsongroup-my.sharepoint.com/personal/brian_ramdhani_epson_co_id/Documents/Apps/Microsoft%20Forms/TAKATSU%20ANALYZE%20REPORT/Question/PGU%20Seret_Nazar%20Bagus%20H..jpg" TargetMode="External"/><Relationship Id="rId12" Type="http://schemas.openxmlformats.org/officeDocument/2006/relationships/table" Target="../tables/table1.xml"/><Relationship Id="rId2" Type="http://schemas.openxmlformats.org/officeDocument/2006/relationships/hyperlink" Target="https://epsongroup-my.sharepoint.com/personal/brian_ramdhani_epson_co_id/Documents/Apps/Microsoft%20Forms/TAKATSU%20ANALYZE%20REPORT/Question/PF%20OK_Nazar%20Bagus%20H..jpg" TargetMode="External"/><Relationship Id="rId1" Type="http://schemas.openxmlformats.org/officeDocument/2006/relationships/hyperlink" Target="https://epsongroup-my.sharepoint.com/personal/brian_ramdhani_epson_co_id/Documents/Apps/Microsoft%20Forms/TAKATSU%20ANALYZE%20REPORT/Question/6727_Nazar%20Bagus%20H..jpg" TargetMode="External"/><Relationship Id="rId6" Type="http://schemas.openxmlformats.org/officeDocument/2006/relationships/hyperlink" Target="https://epsongroup-my.sharepoint.com/personal/brian_ramdhani_epson_co_id/Documents/Apps/Microsoft%20Forms/TAKATSU%20ANALYZE%20REPORT/Question/PGU_Zainul%20Muttaqin%202.png" TargetMode="External"/><Relationship Id="rId11" Type="http://schemas.openxmlformats.org/officeDocument/2006/relationships/hyperlink" Target="https://epsongroup-my.sharepoint.com/personal/brian_ramdhani_epson_co_id/Documents/Apps/Microsoft%20Forms/TAKATSU%20ANALYZE%20REPORT/Question/DMAV_Nazar%20Bagus%20H..jpg" TargetMode="External"/><Relationship Id="rId5" Type="http://schemas.openxmlformats.org/officeDocument/2006/relationships/hyperlink" Target="https://epsongroup-my.sharepoint.com/personal/brian_ramdhani_epson_co_id/Documents/Apps/Microsoft%20Forms/TAKATSU%20ANALYZE%20REPORT/Question/False%20Reject_Nazar%20Bagus%20H.%201.PNG" TargetMode="External"/><Relationship Id="rId10" Type="http://schemas.openxmlformats.org/officeDocument/2006/relationships/hyperlink" Target="https://epsongroup-my.sharepoint.com/personal/brian_ramdhani_epson_co_id/Documents/Apps/Microsoft%20Forms/TAKATSU%20ANALYZE%20REPORT/Question/FFC%20Slanting_Muhammad%20Dzaki%20Taufi.jpg" TargetMode="External"/><Relationship Id="rId4" Type="http://schemas.openxmlformats.org/officeDocument/2006/relationships/hyperlink" Target="https://epsongroup-my.sharepoint.com/personal/brian_ramdhani_epson_co_id/Documents/Apps/Microsoft%20Forms/TAKATSU%20ANALYZE%20REPORT/Question/PGU_Zainul%20Muttaqin.png" TargetMode="External"/><Relationship Id="rId9" Type="http://schemas.openxmlformats.org/officeDocument/2006/relationships/hyperlink" Target="https://epsongroup-my.sharepoint.com/personal/brian_ramdhani_epson_co_id/Documents/Apps/Microsoft%20Forms/TAKATSU%20ANALYZE%20REPORT/Question/1751874302621_Muhammad%20Dzaki%20Taufi%201.jp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06"/>
  <sheetViews>
    <sheetView topLeftCell="S1" workbookViewId="0">
      <selection activeCell="U12" sqref="U12"/>
    </sheetView>
  </sheetViews>
  <sheetFormatPr defaultRowHeight="15" customHeight="1"/>
  <cols>
    <col min="1" max="1" width="18.140625" bestFit="1" customWidth="1"/>
    <col min="2" max="2" width="18.140625" customWidth="1"/>
    <col min="3" max="4" width="18.140625" style="3" customWidth="1"/>
    <col min="5" max="5" width="20.85546875" bestFit="1" customWidth="1"/>
    <col min="6" max="8" width="20.85546875" customWidth="1"/>
    <col min="9" max="10" width="24" customWidth="1"/>
    <col min="11" max="11" width="65.5703125" bestFit="1" customWidth="1"/>
    <col min="12" max="12" width="18.140625" customWidth="1"/>
    <col min="13" max="13" width="23.42578125" customWidth="1"/>
    <col min="14" max="14" width="29" customWidth="1"/>
    <col min="15" max="17" width="23.42578125" customWidth="1"/>
    <col min="18" max="18" width="50.85546875" customWidth="1"/>
    <col min="19" max="19" width="97.28515625" customWidth="1"/>
    <col min="20" max="20" width="77.7109375" customWidth="1"/>
    <col min="21" max="21" width="161.42578125" customWidth="1"/>
    <col min="22" max="35" width="35.7109375" customWidth="1"/>
    <col min="36" max="36" width="43.28515625" customWidth="1"/>
    <col min="37" max="37" width="19.42578125" customWidth="1"/>
    <col min="38" max="38" width="19.7109375" customWidth="1"/>
    <col min="39" max="39" width="52.5703125" customWidth="1"/>
    <col min="40" max="40" width="17.5703125" bestFit="1" customWidth="1"/>
  </cols>
  <sheetData>
    <row r="1" spans="1:40">
      <c r="A1" t="s">
        <v>0</v>
      </c>
      <c r="B1" t="s">
        <v>1</v>
      </c>
      <c r="C1" s="3" t="s">
        <v>2</v>
      </c>
      <c r="D1" s="3"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idden="1">
      <c r="A2" t="s">
        <v>40</v>
      </c>
      <c r="C2" s="3">
        <v>45621</v>
      </c>
      <c r="E2" t="s">
        <v>41</v>
      </c>
      <c r="H2" t="str">
        <f>VLOOKUP(Table1[[#This Row],[Official_Defect_Name]],Sheet2!$A:$F,2,FALSE)</f>
        <v>TKSAL-004</v>
      </c>
      <c r="I2" t="s">
        <v>42</v>
      </c>
      <c r="K2" t="s">
        <v>42</v>
      </c>
      <c r="L2" t="e">
        <f>VLOOKUP(Table1[[#This Row],[Official_Defect_Name]],Table3[#All],6,1)</f>
        <v>#N/A</v>
      </c>
      <c r="M2" t="s">
        <v>43</v>
      </c>
      <c r="N2" t="s">
        <v>44</v>
      </c>
      <c r="R2" t="s">
        <v>45</v>
      </c>
      <c r="U2" s="5"/>
      <c r="V2" s="5"/>
      <c r="W2" s="5"/>
      <c r="X2" s="5"/>
      <c r="Y2" s="5"/>
      <c r="Z2" s="5"/>
      <c r="AA2" s="5"/>
      <c r="AB2" s="5"/>
      <c r="AC2" s="5"/>
      <c r="AD2" s="5"/>
      <c r="AE2" s="5"/>
      <c r="AF2" s="5"/>
      <c r="AG2" s="5"/>
      <c r="AH2" s="5"/>
      <c r="AI2" s="5"/>
      <c r="AJ2" s="5"/>
      <c r="AK2" s="5"/>
      <c r="AL2" s="5"/>
    </row>
    <row r="3" spans="1:40" hidden="1">
      <c r="A3" t="s">
        <v>46</v>
      </c>
      <c r="C3" s="3">
        <v>45624</v>
      </c>
      <c r="E3" t="s">
        <v>47</v>
      </c>
      <c r="H3" t="str">
        <f>VLOOKUP(Table1[[#This Row],[Official_Defect_Name]],Sheet2!$A:$F,2,FALSE)</f>
        <v>TKSAL-010</v>
      </c>
      <c r="I3" t="s">
        <v>48</v>
      </c>
      <c r="K3" t="s">
        <v>48</v>
      </c>
      <c r="L3" t="str">
        <f>VLOOKUP(Table1[[#This Row],[Official_Defect_Name]],Table3[#All],6,1)</f>
        <v>Critical</v>
      </c>
      <c r="M3" t="s">
        <v>43</v>
      </c>
      <c r="N3" t="s">
        <v>49</v>
      </c>
      <c r="R3" t="s">
        <v>50</v>
      </c>
    </row>
    <row r="4" spans="1:40" hidden="1">
      <c r="A4" t="s">
        <v>51</v>
      </c>
      <c r="C4" s="3">
        <v>45624</v>
      </c>
      <c r="E4" t="s">
        <v>47</v>
      </c>
      <c r="H4" t="str">
        <f>VLOOKUP(Table1[[#This Row],[Official_Defect_Name]],Sheet2!$A:$F,2,FALSE)</f>
        <v>TKSAL-010</v>
      </c>
      <c r="I4" t="s">
        <v>48</v>
      </c>
      <c r="K4" t="s">
        <v>48</v>
      </c>
      <c r="L4" t="str">
        <f>VLOOKUP(Table1[[#This Row],[Official_Defect_Name]],Table3[#All],6,1)</f>
        <v>Critical</v>
      </c>
      <c r="M4" t="s">
        <v>43</v>
      </c>
      <c r="N4" t="s">
        <v>49</v>
      </c>
      <c r="R4" t="s">
        <v>52</v>
      </c>
    </row>
    <row r="5" spans="1:40" hidden="1">
      <c r="A5" t="s">
        <v>53</v>
      </c>
      <c r="C5" s="3">
        <v>45624</v>
      </c>
      <c r="E5" t="s">
        <v>41</v>
      </c>
      <c r="H5" t="str">
        <f>VLOOKUP(Table1[[#This Row],[Official_Defect_Name]],Sheet2!$A:$F,2,FALSE)</f>
        <v>TKSAL-008</v>
      </c>
      <c r="I5" t="s">
        <v>54</v>
      </c>
      <c r="K5" t="s">
        <v>54</v>
      </c>
      <c r="L5" t="str">
        <f>VLOOKUP(Table1[[#This Row],[Official_Defect_Name]],Table3[#All],6,1)</f>
        <v>Severity</v>
      </c>
      <c r="M5" t="s">
        <v>43</v>
      </c>
      <c r="N5" t="s">
        <v>49</v>
      </c>
      <c r="R5" t="s">
        <v>55</v>
      </c>
    </row>
    <row r="6" spans="1:40" hidden="1">
      <c r="A6" t="s">
        <v>56</v>
      </c>
      <c r="C6" s="3">
        <v>45628</v>
      </c>
      <c r="E6" t="s">
        <v>47</v>
      </c>
      <c r="H6" t="str">
        <f>VLOOKUP(Table1[[#This Row],[Official_Defect_Name]],Sheet2!$A:$F,2,FALSE)</f>
        <v>TKSFE-003</v>
      </c>
      <c r="I6" t="s">
        <v>57</v>
      </c>
      <c r="K6" t="s">
        <v>57</v>
      </c>
      <c r="L6" t="str">
        <f>VLOOKUP(Table1[[#This Row],[Official_Defect_Name]],Table3[#All],6,1)</f>
        <v>Low</v>
      </c>
      <c r="M6" t="s">
        <v>43</v>
      </c>
      <c r="N6" t="s">
        <v>58</v>
      </c>
      <c r="R6" t="s">
        <v>59</v>
      </c>
      <c r="S6" t="s">
        <v>60</v>
      </c>
      <c r="T6" t="s">
        <v>61</v>
      </c>
      <c r="U6" s="5" t="s">
        <v>62</v>
      </c>
      <c r="V6" s="5"/>
      <c r="W6" s="5"/>
      <c r="X6" s="5"/>
      <c r="Y6" s="5"/>
      <c r="Z6" s="5"/>
      <c r="AA6" s="5"/>
      <c r="AB6" s="5"/>
      <c r="AC6" s="5"/>
      <c r="AD6" s="5"/>
      <c r="AE6" s="5"/>
      <c r="AF6" s="5"/>
      <c r="AG6" s="5"/>
      <c r="AH6" s="5"/>
      <c r="AI6" s="5"/>
      <c r="AJ6" s="5"/>
      <c r="AK6" s="5"/>
      <c r="AL6" s="5"/>
      <c r="AM6" t="s">
        <v>63</v>
      </c>
    </row>
    <row r="7" spans="1:40" hidden="1">
      <c r="A7" t="s">
        <v>64</v>
      </c>
      <c r="C7" s="3">
        <v>45629</v>
      </c>
      <c r="E7" t="s">
        <v>47</v>
      </c>
      <c r="H7" t="str">
        <f>VLOOKUP(Table1[[#This Row],[Official_Defect_Name]],Sheet2!$A:$F,2,FALSE)</f>
        <v>TKSAL-017</v>
      </c>
      <c r="I7" t="s">
        <v>65</v>
      </c>
      <c r="K7" t="s">
        <v>65</v>
      </c>
      <c r="L7" t="str">
        <f>VLOOKUP(Table1[[#This Row],[Official_Defect_Name]],Table3[#All],6,1)</f>
        <v>Low</v>
      </c>
      <c r="M7" t="s">
        <v>43</v>
      </c>
      <c r="N7" t="s">
        <v>66</v>
      </c>
      <c r="R7" t="s">
        <v>67</v>
      </c>
      <c r="S7" t="s">
        <v>68</v>
      </c>
      <c r="T7" t="s">
        <v>69</v>
      </c>
      <c r="U7" s="5" t="s">
        <v>70</v>
      </c>
      <c r="V7" s="5" t="s">
        <v>71</v>
      </c>
      <c r="W7" s="5"/>
      <c r="X7" s="5"/>
      <c r="Y7" s="5"/>
      <c r="Z7" s="5"/>
      <c r="AA7" s="5"/>
      <c r="AB7" s="5"/>
      <c r="AC7" s="5"/>
      <c r="AD7" s="5"/>
      <c r="AE7" s="5"/>
      <c r="AF7" s="5"/>
      <c r="AG7" s="5"/>
      <c r="AH7" s="5"/>
      <c r="AI7" s="5"/>
      <c r="AJ7" s="5" t="s">
        <v>72</v>
      </c>
      <c r="AK7" s="5"/>
      <c r="AL7" s="5"/>
      <c r="AM7" t="s">
        <v>73</v>
      </c>
      <c r="AN7" t="s">
        <v>74</v>
      </c>
    </row>
    <row r="8" spans="1:40" hidden="1">
      <c r="A8" t="s">
        <v>75</v>
      </c>
      <c r="C8" s="3">
        <v>45629</v>
      </c>
      <c r="E8" t="s">
        <v>47</v>
      </c>
      <c r="H8" t="str">
        <f>VLOOKUP(Table1[[#This Row],[Official_Defect_Name]],Sheet2!$A:$F,2,FALSE)</f>
        <v>TKSAL-020</v>
      </c>
      <c r="I8" t="s">
        <v>76</v>
      </c>
      <c r="K8" t="s">
        <v>76</v>
      </c>
      <c r="L8" t="str">
        <f>VLOOKUP(Table1[[#This Row],[Official_Defect_Name]],Table3[#All],6,1)</f>
        <v>Low</v>
      </c>
      <c r="M8" t="s">
        <v>43</v>
      </c>
      <c r="N8" t="s">
        <v>77</v>
      </c>
      <c r="R8" t="s">
        <v>78</v>
      </c>
      <c r="S8" t="s">
        <v>79</v>
      </c>
      <c r="T8" t="s">
        <v>80</v>
      </c>
      <c r="U8" s="5" t="s">
        <v>81</v>
      </c>
      <c r="V8" s="5" t="s">
        <v>82</v>
      </c>
      <c r="W8" s="5"/>
      <c r="X8" s="5"/>
      <c r="Y8" s="5"/>
      <c r="Z8" s="5"/>
      <c r="AA8" s="5"/>
      <c r="AB8" s="5"/>
      <c r="AC8" s="5"/>
      <c r="AD8" s="5"/>
      <c r="AE8" s="5"/>
      <c r="AF8" s="5"/>
      <c r="AG8" s="5"/>
      <c r="AH8" s="5"/>
      <c r="AI8" s="5"/>
      <c r="AJ8" s="5"/>
      <c r="AK8" s="5"/>
      <c r="AL8" s="5"/>
      <c r="AM8" t="s">
        <v>83</v>
      </c>
      <c r="AN8" t="s">
        <v>84</v>
      </c>
    </row>
    <row r="9" spans="1:40" hidden="1">
      <c r="A9" t="s">
        <v>85</v>
      </c>
      <c r="C9" s="3">
        <v>45630</v>
      </c>
      <c r="E9" t="s">
        <v>47</v>
      </c>
      <c r="H9" t="str">
        <f>VLOOKUP(Table1[[#This Row],[Official_Defect_Name]],Sheet2!$A:$F,2,FALSE)</f>
        <v>TKSAL-015</v>
      </c>
      <c r="I9" t="s">
        <v>86</v>
      </c>
      <c r="K9" t="s">
        <v>86</v>
      </c>
      <c r="L9" t="str">
        <f>VLOOKUP(Table1[[#This Row],[Official_Defect_Name]],Table3[#All],6,1)</f>
        <v>Low</v>
      </c>
      <c r="M9" t="s">
        <v>43</v>
      </c>
      <c r="N9" t="s">
        <v>87</v>
      </c>
      <c r="R9" t="s">
        <v>88</v>
      </c>
      <c r="S9" t="s">
        <v>89</v>
      </c>
      <c r="T9" t="s">
        <v>90</v>
      </c>
      <c r="U9" s="1" t="s">
        <v>91</v>
      </c>
      <c r="V9" s="1" t="s">
        <v>92</v>
      </c>
      <c r="W9" s="1"/>
      <c r="X9" s="1"/>
      <c r="Y9" s="1"/>
      <c r="Z9" s="1"/>
      <c r="AA9" s="1"/>
      <c r="AB9" s="1"/>
      <c r="AC9" s="1"/>
      <c r="AD9" s="1"/>
      <c r="AE9" s="1"/>
      <c r="AF9" s="1"/>
      <c r="AG9" s="1"/>
      <c r="AH9" s="1"/>
      <c r="AI9" s="1"/>
      <c r="AJ9" s="1" t="s">
        <v>93</v>
      </c>
      <c r="AK9" s="1"/>
      <c r="AL9" s="1"/>
      <c r="AM9" t="s">
        <v>94</v>
      </c>
      <c r="AN9" t="s">
        <v>95</v>
      </c>
    </row>
    <row r="10" spans="1:40" hidden="1">
      <c r="A10" t="s">
        <v>96</v>
      </c>
      <c r="C10" s="3">
        <v>45631</v>
      </c>
      <c r="E10" t="s">
        <v>41</v>
      </c>
      <c r="H10" t="str">
        <f>VLOOKUP(Table1[[#This Row],[Official_Defect_Name]],Sheet2!$A:$F,2,FALSE)</f>
        <v>TKSAL-004</v>
      </c>
      <c r="I10" t="s">
        <v>42</v>
      </c>
      <c r="K10" t="s">
        <v>42</v>
      </c>
      <c r="L10" t="e">
        <f>VLOOKUP(Table1[[#This Row],[Official_Defect_Name]],Table3[#All],6,1)</f>
        <v>#N/A</v>
      </c>
      <c r="M10" t="s">
        <v>43</v>
      </c>
      <c r="N10" t="s">
        <v>44</v>
      </c>
      <c r="R10" t="s">
        <v>97</v>
      </c>
      <c r="S10" t="s">
        <v>98</v>
      </c>
      <c r="T10" t="s">
        <v>99</v>
      </c>
      <c r="U10" s="5" t="s">
        <v>100</v>
      </c>
      <c r="V10" s="5" t="s">
        <v>101</v>
      </c>
      <c r="W10" s="5"/>
      <c r="X10" s="5"/>
      <c r="Y10" s="5"/>
      <c r="Z10" s="5"/>
      <c r="AA10" s="5"/>
      <c r="AB10" s="5"/>
      <c r="AC10" s="5"/>
      <c r="AD10" s="5"/>
      <c r="AE10" s="5"/>
      <c r="AF10" s="5"/>
      <c r="AG10" s="5"/>
      <c r="AH10" s="5"/>
      <c r="AI10" s="5"/>
      <c r="AJ10" s="5" t="s">
        <v>102</v>
      </c>
      <c r="AK10" s="5"/>
      <c r="AL10" s="5"/>
      <c r="AM10" t="s">
        <v>103</v>
      </c>
      <c r="AN10" t="s">
        <v>84</v>
      </c>
    </row>
    <row r="11" spans="1:40" hidden="1">
      <c r="A11" t="s">
        <v>104</v>
      </c>
      <c r="C11" s="3">
        <v>45631</v>
      </c>
      <c r="E11" t="s">
        <v>41</v>
      </c>
      <c r="H11" t="str">
        <f>VLOOKUP(Table1[[#This Row],[Official_Defect_Name]],Sheet2!$A:$F,2,FALSE)</f>
        <v>TKSAL-004</v>
      </c>
      <c r="I11" t="s">
        <v>42</v>
      </c>
      <c r="K11" t="s">
        <v>42</v>
      </c>
      <c r="L11" t="e">
        <f>VLOOKUP(Table1[[#This Row],[Official_Defect_Name]],Table3[#All],6,1)</f>
        <v>#N/A</v>
      </c>
      <c r="M11" t="s">
        <v>43</v>
      </c>
      <c r="N11" t="s">
        <v>105</v>
      </c>
      <c r="R11" t="s">
        <v>106</v>
      </c>
      <c r="U11" s="5"/>
      <c r="V11" s="5" t="s">
        <v>107</v>
      </c>
      <c r="W11" s="5"/>
      <c r="X11" s="5"/>
      <c r="Y11" s="5"/>
      <c r="Z11" s="5"/>
      <c r="AA11" s="5"/>
      <c r="AB11" s="5"/>
      <c r="AC11" s="5"/>
      <c r="AD11" s="5"/>
      <c r="AE11" s="5"/>
      <c r="AF11" s="5"/>
      <c r="AG11" s="5"/>
      <c r="AH11" s="5"/>
      <c r="AI11" s="5"/>
      <c r="AJ11" s="5"/>
      <c r="AK11" s="5"/>
      <c r="AL11" s="5"/>
    </row>
    <row r="12" spans="1:40">
      <c r="A12" t="s">
        <v>108</v>
      </c>
      <c r="E12" t="s">
        <v>41</v>
      </c>
      <c r="H12" t="str">
        <f>VLOOKUP(Table1[[#This Row],[Official_Defect_Name]],Sheet2!$A:$F,2,FALSE)</f>
        <v>TKSAL-009</v>
      </c>
      <c r="I12" t="s">
        <v>109</v>
      </c>
      <c r="K12" t="s">
        <v>109</v>
      </c>
      <c r="L12" t="str">
        <f>VLOOKUP(Table1[[#This Row],[Official_Defect_Name]],Table3[#All],6,1)</f>
        <v>Severity</v>
      </c>
      <c r="M12" t="s">
        <v>43</v>
      </c>
      <c r="N12" t="s">
        <v>49</v>
      </c>
      <c r="R12" t="s">
        <v>50</v>
      </c>
      <c r="S12" t="s">
        <v>110</v>
      </c>
      <c r="T12" t="s">
        <v>111</v>
      </c>
      <c r="U12" s="5" t="s">
        <v>112</v>
      </c>
      <c r="V12" s="5" t="s">
        <v>113</v>
      </c>
      <c r="W12" s="5"/>
      <c r="X12" s="5"/>
      <c r="Y12" s="5"/>
      <c r="Z12" s="5"/>
      <c r="AA12" s="5"/>
      <c r="AB12" s="5"/>
      <c r="AC12" s="5"/>
      <c r="AD12" s="5"/>
      <c r="AE12" s="5"/>
      <c r="AF12" s="5"/>
      <c r="AG12" s="5"/>
      <c r="AH12" s="5"/>
      <c r="AI12" s="5"/>
      <c r="AJ12" s="5" t="s">
        <v>114</v>
      </c>
      <c r="AK12" s="5"/>
      <c r="AL12" s="5"/>
      <c r="AM12" t="s">
        <v>115</v>
      </c>
      <c r="AN12" t="s">
        <v>84</v>
      </c>
    </row>
    <row r="13" spans="1:40">
      <c r="A13" t="s">
        <v>116</v>
      </c>
      <c r="C13" s="3">
        <v>45635</v>
      </c>
      <c r="E13" t="s">
        <v>41</v>
      </c>
      <c r="H13" t="str">
        <f>VLOOKUP(Table1[[#This Row],[Official_Defect_Name]],Sheet2!$A:$F,2,FALSE)</f>
        <v>TKSAL-004</v>
      </c>
      <c r="I13" t="s">
        <v>42</v>
      </c>
      <c r="K13" t="s">
        <v>42</v>
      </c>
      <c r="L13" t="e">
        <f>VLOOKUP(Table1[[#This Row],[Official_Defect_Name]],Table3[#All],6,1)</f>
        <v>#N/A</v>
      </c>
      <c r="M13" t="s">
        <v>43</v>
      </c>
      <c r="N13" t="s">
        <v>117</v>
      </c>
      <c r="R13" t="s">
        <v>118</v>
      </c>
      <c r="S13" t="s">
        <v>119</v>
      </c>
      <c r="T13" t="s">
        <v>120</v>
      </c>
      <c r="U13" s="5"/>
      <c r="V13" s="5" t="s">
        <v>121</v>
      </c>
      <c r="W13" s="5"/>
      <c r="X13" s="5"/>
      <c r="Y13" s="5"/>
      <c r="Z13" s="5"/>
      <c r="AA13" s="5"/>
      <c r="AB13" s="5"/>
      <c r="AC13" s="5"/>
      <c r="AD13" s="5"/>
      <c r="AE13" s="5"/>
      <c r="AF13" s="5"/>
      <c r="AG13" s="5"/>
      <c r="AH13" s="5"/>
      <c r="AI13" s="5"/>
      <c r="AJ13" s="5" t="s">
        <v>122</v>
      </c>
      <c r="AK13" s="5"/>
      <c r="AL13" s="5"/>
      <c r="AM13" t="s">
        <v>123</v>
      </c>
      <c r="AN13" t="s">
        <v>95</v>
      </c>
    </row>
    <row r="14" spans="1:40">
      <c r="A14" t="s">
        <v>124</v>
      </c>
      <c r="C14" s="3">
        <v>45636</v>
      </c>
      <c r="E14" t="s">
        <v>41</v>
      </c>
      <c r="H14" t="str">
        <f>VLOOKUP(Table1[[#This Row],[Official_Defect_Name]],Sheet2!$A:$F,2,FALSE)</f>
        <v>TKSAL-025</v>
      </c>
      <c r="I14" t="s">
        <v>125</v>
      </c>
      <c r="K14" t="s">
        <v>125</v>
      </c>
      <c r="L14" t="str">
        <f>VLOOKUP(Table1[[#This Row],[Official_Defect_Name]],Table3[#All],6,1)</f>
        <v>Low</v>
      </c>
      <c r="M14" t="s">
        <v>43</v>
      </c>
      <c r="N14" t="s">
        <v>126</v>
      </c>
      <c r="R14" t="s">
        <v>127</v>
      </c>
      <c r="U14" s="5"/>
      <c r="V14" s="5" t="s">
        <v>128</v>
      </c>
      <c r="W14" s="5"/>
      <c r="X14" s="5"/>
      <c r="Y14" s="5"/>
      <c r="Z14" s="5"/>
      <c r="AA14" s="5"/>
      <c r="AB14" s="5"/>
      <c r="AC14" s="5"/>
      <c r="AD14" s="5"/>
      <c r="AE14" s="5"/>
      <c r="AF14" s="5"/>
      <c r="AG14" s="5"/>
      <c r="AH14" s="5"/>
      <c r="AI14" s="5"/>
      <c r="AJ14" s="5"/>
      <c r="AK14" s="5"/>
      <c r="AL14" s="5"/>
    </row>
    <row r="15" spans="1:40">
      <c r="A15" t="s">
        <v>129</v>
      </c>
      <c r="C15" s="3">
        <v>45636</v>
      </c>
      <c r="E15" t="s">
        <v>41</v>
      </c>
      <c r="H15" t="str">
        <f>VLOOKUP(Table1[[#This Row],[Official_Defect_Name]],Sheet2!$A:$F,2,FALSE)</f>
        <v>TKSAL-025</v>
      </c>
      <c r="I15" t="s">
        <v>125</v>
      </c>
      <c r="K15" t="s">
        <v>125</v>
      </c>
      <c r="L15" t="str">
        <f>VLOOKUP(Table1[[#This Row],[Official_Defect_Name]],Table3[#All],6,1)</f>
        <v>Low</v>
      </c>
      <c r="M15" t="s">
        <v>43</v>
      </c>
      <c r="N15" t="s">
        <v>126</v>
      </c>
      <c r="R15" t="s">
        <v>130</v>
      </c>
      <c r="S15" t="s">
        <v>131</v>
      </c>
      <c r="T15" t="s">
        <v>132</v>
      </c>
      <c r="U15" s="5" t="s">
        <v>133</v>
      </c>
      <c r="V15" s="5" t="s">
        <v>134</v>
      </c>
      <c r="W15" s="5"/>
      <c r="X15" s="5"/>
      <c r="Y15" s="5"/>
      <c r="Z15" s="5"/>
      <c r="AA15" s="5"/>
      <c r="AB15" s="5"/>
      <c r="AC15" s="5"/>
      <c r="AD15" s="5"/>
      <c r="AE15" s="5"/>
      <c r="AF15" s="5"/>
      <c r="AG15" s="5"/>
      <c r="AH15" s="5"/>
      <c r="AI15" s="5"/>
      <c r="AJ15" s="5" t="s">
        <v>135</v>
      </c>
      <c r="AK15" s="5"/>
      <c r="AL15" s="5"/>
      <c r="AM15" t="s">
        <v>136</v>
      </c>
      <c r="AN15" t="s">
        <v>74</v>
      </c>
    </row>
    <row r="16" spans="1:40">
      <c r="A16" t="s">
        <v>137</v>
      </c>
      <c r="C16" s="3">
        <v>45636</v>
      </c>
      <c r="E16" t="s">
        <v>41</v>
      </c>
      <c r="H16" t="str">
        <f>VLOOKUP(Table1[[#This Row],[Official_Defect_Name]],Sheet2!$A:$F,2,FALSE)</f>
        <v>TKSAL-004</v>
      </c>
      <c r="I16" t="s">
        <v>42</v>
      </c>
      <c r="K16" t="s">
        <v>42</v>
      </c>
      <c r="L16" t="e">
        <f>VLOOKUP(Table1[[#This Row],[Official_Defect_Name]],Table3[#All],6,1)</f>
        <v>#N/A</v>
      </c>
      <c r="M16" t="s">
        <v>43</v>
      </c>
      <c r="N16" t="s">
        <v>138</v>
      </c>
      <c r="R16" t="s">
        <v>97</v>
      </c>
      <c r="U16" s="5"/>
      <c r="V16" s="5" t="s">
        <v>139</v>
      </c>
      <c r="W16" s="5"/>
      <c r="X16" s="5"/>
      <c r="Y16" s="5"/>
      <c r="Z16" s="5"/>
      <c r="AA16" s="5"/>
      <c r="AB16" s="5"/>
      <c r="AC16" s="5"/>
      <c r="AD16" s="5"/>
      <c r="AE16" s="5"/>
      <c r="AF16" s="5"/>
      <c r="AG16" s="5"/>
      <c r="AH16" s="5"/>
      <c r="AI16" s="5"/>
      <c r="AJ16" s="5"/>
      <c r="AK16" s="5"/>
      <c r="AL16" s="5"/>
    </row>
    <row r="17" spans="1:40">
      <c r="A17" t="s">
        <v>140</v>
      </c>
      <c r="C17" s="3">
        <v>45636</v>
      </c>
      <c r="E17" t="s">
        <v>41</v>
      </c>
      <c r="H17" t="str">
        <f>VLOOKUP(Table1[[#This Row],[Official_Defect_Name]],Sheet2!$A:$F,2,FALSE)</f>
        <v>TKSAL-003</v>
      </c>
      <c r="I17" t="s">
        <v>141</v>
      </c>
      <c r="K17" t="s">
        <v>141</v>
      </c>
      <c r="L17" t="e">
        <f>VLOOKUP(Table1[[#This Row],[Official_Defect_Name]],Table3[#All],6,1)</f>
        <v>#N/A</v>
      </c>
      <c r="M17" t="s">
        <v>43</v>
      </c>
      <c r="N17" t="s">
        <v>87</v>
      </c>
      <c r="R17" t="s">
        <v>142</v>
      </c>
      <c r="S17" t="s">
        <v>143</v>
      </c>
      <c r="T17" t="s">
        <v>144</v>
      </c>
      <c r="U17" s="5" t="s">
        <v>145</v>
      </c>
      <c r="V17" s="5" t="s">
        <v>146</v>
      </c>
      <c r="W17" s="5"/>
      <c r="X17" s="5"/>
      <c r="Y17" s="5"/>
      <c r="Z17" s="5"/>
      <c r="AA17" s="5"/>
      <c r="AB17" s="5"/>
      <c r="AC17" s="5"/>
      <c r="AD17" s="5"/>
      <c r="AE17" s="5"/>
      <c r="AF17" s="5"/>
      <c r="AG17" s="5"/>
      <c r="AH17" s="5"/>
      <c r="AI17" s="5"/>
      <c r="AJ17" s="5" t="s">
        <v>147</v>
      </c>
      <c r="AK17" s="5"/>
      <c r="AL17" s="5"/>
      <c r="AM17" t="s">
        <v>148</v>
      </c>
      <c r="AN17" t="s">
        <v>74</v>
      </c>
    </row>
    <row r="18" spans="1:40">
      <c r="A18" t="s">
        <v>149</v>
      </c>
      <c r="C18" s="3">
        <v>45637</v>
      </c>
      <c r="E18" t="s">
        <v>41</v>
      </c>
      <c r="H18" t="str">
        <f>VLOOKUP(Table1[[#This Row],[Official_Defect_Name]],Sheet2!$A:$F,2,FALSE)</f>
        <v>TKSFE-002</v>
      </c>
      <c r="I18" t="s">
        <v>150</v>
      </c>
      <c r="K18" t="s">
        <v>150</v>
      </c>
      <c r="L18" t="str">
        <f>VLOOKUP(Table1[[#This Row],[Official_Defect_Name]],Table3[#All],6,1)</f>
        <v>High</v>
      </c>
      <c r="M18" t="s">
        <v>43</v>
      </c>
      <c r="N18" t="s">
        <v>58</v>
      </c>
      <c r="R18" t="s">
        <v>151</v>
      </c>
      <c r="S18" t="s">
        <v>152</v>
      </c>
      <c r="T18" t="s">
        <v>153</v>
      </c>
      <c r="U18" s="5" t="s">
        <v>154</v>
      </c>
      <c r="V18" s="5" t="s">
        <v>155</v>
      </c>
      <c r="W18" s="5"/>
      <c r="X18" s="5"/>
      <c r="Y18" s="5"/>
      <c r="Z18" s="5"/>
      <c r="AA18" s="5"/>
      <c r="AB18" s="5"/>
      <c r="AC18" s="5"/>
      <c r="AD18" s="5"/>
      <c r="AE18" s="5"/>
      <c r="AF18" s="5"/>
      <c r="AG18" s="5"/>
      <c r="AH18" s="5"/>
      <c r="AI18" s="5"/>
      <c r="AJ18" s="5" t="s">
        <v>156</v>
      </c>
      <c r="AK18" s="5"/>
      <c r="AL18" s="5"/>
      <c r="AM18" t="s">
        <v>157</v>
      </c>
      <c r="AN18" t="s">
        <v>74</v>
      </c>
    </row>
    <row r="19" spans="1:40">
      <c r="A19" t="s">
        <v>158</v>
      </c>
      <c r="C19" s="3">
        <v>45638</v>
      </c>
      <c r="E19" t="s">
        <v>47</v>
      </c>
      <c r="H19" t="str">
        <f>VLOOKUP(Table1[[#This Row],[Official_Defect_Name]],Sheet2!$A:$F,2,FALSE)</f>
        <v>TKSAL-005</v>
      </c>
      <c r="I19" t="s">
        <v>159</v>
      </c>
      <c r="K19" t="s">
        <v>159</v>
      </c>
      <c r="L19" t="e">
        <f>VLOOKUP(Table1[[#This Row],[Official_Defect_Name]],Table3[#All],6,1)</f>
        <v>#N/A</v>
      </c>
      <c r="M19" t="s">
        <v>43</v>
      </c>
      <c r="N19" t="s">
        <v>160</v>
      </c>
      <c r="R19" t="s">
        <v>161</v>
      </c>
      <c r="S19" t="s">
        <v>162</v>
      </c>
      <c r="T19" t="s">
        <v>163</v>
      </c>
      <c r="U19" s="5" t="s">
        <v>164</v>
      </c>
      <c r="V19" s="5" t="s">
        <v>165</v>
      </c>
      <c r="W19" s="5"/>
      <c r="X19" s="5"/>
      <c r="Y19" s="5"/>
      <c r="Z19" s="5"/>
      <c r="AA19" s="5"/>
      <c r="AB19" s="5"/>
      <c r="AC19" s="5"/>
      <c r="AD19" s="5"/>
      <c r="AE19" s="5"/>
      <c r="AF19" s="5"/>
      <c r="AG19" s="5"/>
      <c r="AH19" s="5"/>
      <c r="AI19" s="5"/>
      <c r="AJ19" s="5" t="s">
        <v>166</v>
      </c>
      <c r="AK19" s="5"/>
      <c r="AL19" s="5"/>
      <c r="AM19" t="s">
        <v>167</v>
      </c>
      <c r="AN19" t="s">
        <v>74</v>
      </c>
    </row>
    <row r="20" spans="1:40">
      <c r="A20" t="s">
        <v>168</v>
      </c>
      <c r="C20" s="3">
        <v>45638</v>
      </c>
      <c r="E20" t="s">
        <v>47</v>
      </c>
      <c r="H20" t="str">
        <f>VLOOKUP(Table1[[#This Row],[Official_Defect_Name]],Sheet2!$A:$F,2,FALSE)</f>
        <v>TKSAL-007</v>
      </c>
      <c r="I20" t="s">
        <v>169</v>
      </c>
      <c r="K20" t="s">
        <v>169</v>
      </c>
      <c r="L20" t="e">
        <f>VLOOKUP(Table1[[#This Row],[Official_Defect_Name]],Table3[#All],6,1)</f>
        <v>#N/A</v>
      </c>
      <c r="M20" t="s">
        <v>43</v>
      </c>
      <c r="N20" t="s">
        <v>170</v>
      </c>
      <c r="R20" t="s">
        <v>151</v>
      </c>
      <c r="U20" s="5"/>
      <c r="V20" s="5" t="s">
        <v>171</v>
      </c>
      <c r="W20" s="5"/>
      <c r="X20" s="5"/>
      <c r="Y20" s="5"/>
      <c r="Z20" s="5"/>
      <c r="AA20" s="5"/>
      <c r="AB20" s="5"/>
      <c r="AC20" s="5"/>
      <c r="AD20" s="5"/>
      <c r="AE20" s="5"/>
      <c r="AF20" s="5"/>
      <c r="AG20" s="5"/>
      <c r="AH20" s="5"/>
      <c r="AI20" s="5"/>
      <c r="AJ20" s="5"/>
      <c r="AK20" s="5"/>
      <c r="AL20" s="5"/>
    </row>
    <row r="21" spans="1:40">
      <c r="A21" t="s">
        <v>172</v>
      </c>
      <c r="C21" s="3">
        <v>45642</v>
      </c>
      <c r="E21" t="s">
        <v>47</v>
      </c>
      <c r="H21" t="str">
        <f>VLOOKUP(Table1[[#This Row],[Official_Defect_Name]],Sheet2!$A:$F,2,FALSE)</f>
        <v>TKSAL-010</v>
      </c>
      <c r="I21" t="s">
        <v>48</v>
      </c>
      <c r="K21" t="s">
        <v>48</v>
      </c>
      <c r="L21" t="str">
        <f>VLOOKUP(Table1[[#This Row],[Official_Defect_Name]],Table3[#All],6,1)</f>
        <v>Critical</v>
      </c>
      <c r="M21" t="s">
        <v>43</v>
      </c>
      <c r="N21" t="s">
        <v>49</v>
      </c>
      <c r="R21" t="s">
        <v>173</v>
      </c>
      <c r="S21" t="s">
        <v>174</v>
      </c>
      <c r="T21" t="s">
        <v>175</v>
      </c>
      <c r="U21" s="5" t="s">
        <v>176</v>
      </c>
      <c r="V21" s="5" t="s">
        <v>177</v>
      </c>
      <c r="W21" s="5"/>
      <c r="X21" s="5"/>
      <c r="Y21" s="5"/>
      <c r="Z21" s="5"/>
      <c r="AA21" s="5"/>
      <c r="AB21" s="5"/>
      <c r="AC21" s="5"/>
      <c r="AD21" s="5"/>
      <c r="AE21" s="5"/>
      <c r="AF21" s="5"/>
      <c r="AG21" s="5"/>
      <c r="AH21" s="5"/>
      <c r="AI21" s="5"/>
      <c r="AJ21" s="5" t="s">
        <v>178</v>
      </c>
      <c r="AK21" s="5"/>
      <c r="AL21" s="5"/>
      <c r="AM21" t="s">
        <v>179</v>
      </c>
      <c r="AN21" t="s">
        <v>84</v>
      </c>
    </row>
    <row r="22" spans="1:40">
      <c r="A22" t="s">
        <v>180</v>
      </c>
      <c r="C22" s="3">
        <v>45642</v>
      </c>
      <c r="E22" t="s">
        <v>41</v>
      </c>
      <c r="H22" t="str">
        <f>VLOOKUP(Table1[[#This Row],[Official_Defect_Name]],Sheet2!$A:$F,2,FALSE)</f>
        <v>TKSAL-027</v>
      </c>
      <c r="I22" t="s">
        <v>181</v>
      </c>
      <c r="K22" t="s">
        <v>181</v>
      </c>
      <c r="L22" t="str">
        <f>VLOOKUP(Table1[[#This Row],[Official_Defect_Name]],Table3[#All],6,1)</f>
        <v>Low</v>
      </c>
      <c r="M22" t="s">
        <v>43</v>
      </c>
      <c r="N22" t="s">
        <v>49</v>
      </c>
      <c r="R22" t="s">
        <v>182</v>
      </c>
      <c r="S22" t="s">
        <v>183</v>
      </c>
      <c r="T22" t="s">
        <v>184</v>
      </c>
      <c r="U22" s="5" t="s">
        <v>185</v>
      </c>
      <c r="V22" s="5" t="s">
        <v>186</v>
      </c>
      <c r="W22" s="5"/>
      <c r="X22" s="5"/>
      <c r="Y22" s="5"/>
      <c r="Z22" s="5"/>
      <c r="AA22" s="5"/>
      <c r="AB22" s="5"/>
      <c r="AC22" s="5"/>
      <c r="AD22" s="5"/>
      <c r="AE22" s="5"/>
      <c r="AF22" s="5"/>
      <c r="AG22" s="5"/>
      <c r="AH22" s="5"/>
      <c r="AI22" s="5"/>
      <c r="AJ22" s="5" t="s">
        <v>187</v>
      </c>
      <c r="AK22" s="5"/>
      <c r="AL22" s="5"/>
      <c r="AM22" t="s">
        <v>188</v>
      </c>
      <c r="AN22" t="s">
        <v>84</v>
      </c>
    </row>
    <row r="23" spans="1:40">
      <c r="A23" t="s">
        <v>189</v>
      </c>
      <c r="C23" s="3">
        <v>45642</v>
      </c>
      <c r="E23" t="s">
        <v>41</v>
      </c>
      <c r="H23" t="str">
        <f>VLOOKUP(Table1[[#This Row],[Official_Defect_Name]],Sheet2!$A:$F,2,FALSE)</f>
        <v>TKSAL-001</v>
      </c>
      <c r="I23" t="s">
        <v>190</v>
      </c>
      <c r="K23" t="s">
        <v>190</v>
      </c>
      <c r="L23" t="e">
        <f>VLOOKUP(Table1[[#This Row],[Official_Defect_Name]],Table3[#All],6,1)</f>
        <v>#N/A</v>
      </c>
      <c r="M23" t="s">
        <v>43</v>
      </c>
      <c r="N23" t="s">
        <v>77</v>
      </c>
      <c r="R23" t="s">
        <v>191</v>
      </c>
      <c r="S23" t="s">
        <v>192</v>
      </c>
      <c r="T23" t="s">
        <v>193</v>
      </c>
      <c r="U23" s="5" t="s">
        <v>194</v>
      </c>
      <c r="V23" s="5" t="s">
        <v>195</v>
      </c>
      <c r="W23" s="5"/>
      <c r="X23" s="5"/>
      <c r="Y23" s="5"/>
      <c r="Z23" s="5"/>
      <c r="AA23" s="5"/>
      <c r="AB23" s="5"/>
      <c r="AC23" s="5"/>
      <c r="AD23" s="5"/>
      <c r="AE23" s="5"/>
      <c r="AF23" s="5"/>
      <c r="AG23" s="5"/>
      <c r="AH23" s="5"/>
      <c r="AI23" s="5"/>
      <c r="AJ23" s="5" t="s">
        <v>196</v>
      </c>
      <c r="AK23" s="5"/>
      <c r="AL23" s="5"/>
      <c r="AM23" t="s">
        <v>197</v>
      </c>
      <c r="AN23" t="s">
        <v>95</v>
      </c>
    </row>
    <row r="24" spans="1:40">
      <c r="A24" t="s">
        <v>198</v>
      </c>
      <c r="C24" s="3">
        <v>45642</v>
      </c>
      <c r="E24" t="s">
        <v>41</v>
      </c>
      <c r="H24" t="str">
        <f>VLOOKUP(Table1[[#This Row],[Official_Defect_Name]],Sheet2!$A:$F,2,FALSE)</f>
        <v>TKSAL-012</v>
      </c>
      <c r="I24" t="s">
        <v>199</v>
      </c>
      <c r="K24" t="s">
        <v>199</v>
      </c>
      <c r="L24" t="str">
        <f>VLOOKUP(Table1[[#This Row],[Official_Defect_Name]],Table3[#All],6,1)</f>
        <v>Low</v>
      </c>
      <c r="M24" t="s">
        <v>43</v>
      </c>
      <c r="N24" t="s">
        <v>200</v>
      </c>
      <c r="R24" t="s">
        <v>201</v>
      </c>
      <c r="S24" t="s">
        <v>202</v>
      </c>
      <c r="T24" t="s">
        <v>203</v>
      </c>
      <c r="U24" s="5" t="s">
        <v>204</v>
      </c>
      <c r="V24" s="5" t="s">
        <v>205</v>
      </c>
      <c r="W24" s="5"/>
      <c r="X24" s="5"/>
      <c r="Y24" s="5"/>
      <c r="Z24" s="5"/>
      <c r="AA24" s="5"/>
      <c r="AB24" s="5"/>
      <c r="AC24" s="5"/>
      <c r="AD24" s="5"/>
      <c r="AE24" s="5"/>
      <c r="AF24" s="5"/>
      <c r="AG24" s="5"/>
      <c r="AH24" s="5"/>
      <c r="AI24" s="5"/>
      <c r="AJ24" s="5" t="s">
        <v>206</v>
      </c>
      <c r="AK24" s="5"/>
      <c r="AL24" s="5"/>
      <c r="AM24" t="s">
        <v>207</v>
      </c>
      <c r="AN24" t="s">
        <v>84</v>
      </c>
    </row>
    <row r="25" spans="1:40">
      <c r="A25" t="s">
        <v>208</v>
      </c>
      <c r="C25" s="3">
        <v>45643</v>
      </c>
      <c r="E25" t="s">
        <v>41</v>
      </c>
      <c r="H25" t="str">
        <f>VLOOKUP(Table1[[#This Row],[Official_Defect_Name]],Sheet2!$A:$F,2,FALSE)</f>
        <v>TKSAL-025</v>
      </c>
      <c r="I25" t="s">
        <v>125</v>
      </c>
      <c r="K25" t="s">
        <v>125</v>
      </c>
      <c r="L25" t="str">
        <f>VLOOKUP(Table1[[#This Row],[Official_Defect_Name]],Table3[#All],6,1)</f>
        <v>Low</v>
      </c>
      <c r="M25" t="s">
        <v>43</v>
      </c>
      <c r="N25" t="s">
        <v>87</v>
      </c>
      <c r="R25" t="s">
        <v>209</v>
      </c>
      <c r="S25" t="s">
        <v>210</v>
      </c>
      <c r="T25" t="s">
        <v>211</v>
      </c>
      <c r="U25" s="5" t="s">
        <v>212</v>
      </c>
      <c r="V25" s="5" t="s">
        <v>213</v>
      </c>
      <c r="W25" s="5"/>
      <c r="X25" s="5"/>
      <c r="Y25" s="5"/>
      <c r="Z25" s="5"/>
      <c r="AA25" s="5"/>
      <c r="AB25" s="5"/>
      <c r="AC25" s="5"/>
      <c r="AD25" s="5"/>
      <c r="AE25" s="5"/>
      <c r="AF25" s="5"/>
      <c r="AG25" s="5"/>
      <c r="AH25" s="5"/>
      <c r="AI25" s="5"/>
      <c r="AJ25" s="5" t="s">
        <v>214</v>
      </c>
      <c r="AK25" s="5"/>
      <c r="AL25" s="5"/>
      <c r="AM25" t="s">
        <v>215</v>
      </c>
      <c r="AN25" t="s">
        <v>84</v>
      </c>
    </row>
    <row r="26" spans="1:40">
      <c r="A26" t="s">
        <v>216</v>
      </c>
      <c r="C26" s="3">
        <v>45643</v>
      </c>
      <c r="E26" t="s">
        <v>41</v>
      </c>
      <c r="H26" t="str">
        <f>VLOOKUP(Table1[[#This Row],[Official_Defect_Name]],Sheet2!$A:$F,2,FALSE)</f>
        <v>TKSAL-004</v>
      </c>
      <c r="I26" t="s">
        <v>42</v>
      </c>
      <c r="K26" t="s">
        <v>42</v>
      </c>
      <c r="L26" t="e">
        <f>VLOOKUP(Table1[[#This Row],[Official_Defect_Name]],Table3[#All],6,1)</f>
        <v>#N/A</v>
      </c>
      <c r="M26" t="s">
        <v>43</v>
      </c>
      <c r="N26" t="s">
        <v>217</v>
      </c>
      <c r="R26" t="s">
        <v>218</v>
      </c>
      <c r="S26" t="s">
        <v>219</v>
      </c>
      <c r="T26" t="s">
        <v>220</v>
      </c>
      <c r="U26" s="5" t="s">
        <v>221</v>
      </c>
      <c r="V26" s="5" t="s">
        <v>222</v>
      </c>
      <c r="W26" s="5"/>
      <c r="X26" s="5"/>
      <c r="Y26" s="5"/>
      <c r="Z26" s="5"/>
      <c r="AA26" s="5"/>
      <c r="AB26" s="5"/>
      <c r="AC26" s="5"/>
      <c r="AD26" s="5"/>
      <c r="AE26" s="5"/>
      <c r="AF26" s="5"/>
      <c r="AG26" s="5"/>
      <c r="AH26" s="5"/>
      <c r="AI26" s="5"/>
      <c r="AJ26" s="5" t="s">
        <v>223</v>
      </c>
      <c r="AK26" s="5"/>
      <c r="AL26" s="5"/>
      <c r="AM26" t="s">
        <v>223</v>
      </c>
      <c r="AN26" t="s">
        <v>74</v>
      </c>
    </row>
    <row r="27" spans="1:40">
      <c r="A27" t="s">
        <v>224</v>
      </c>
      <c r="C27" s="3">
        <v>45644</v>
      </c>
      <c r="E27" t="s">
        <v>47</v>
      </c>
      <c r="H27" t="str">
        <f>VLOOKUP(Table1[[#This Row],[Official_Defect_Name]],Sheet2!$A:$F,2,FALSE)</f>
        <v>TKSFE-001</v>
      </c>
      <c r="I27" t="s">
        <v>225</v>
      </c>
      <c r="K27" t="s">
        <v>225</v>
      </c>
      <c r="L27" t="str">
        <f>VLOOKUP(Table1[[#This Row],[Official_Defect_Name]],Table3[#All],6,1)</f>
        <v>High</v>
      </c>
      <c r="M27" t="s">
        <v>43</v>
      </c>
      <c r="N27" t="s">
        <v>87</v>
      </c>
      <c r="R27" t="s">
        <v>191</v>
      </c>
      <c r="S27" t="s">
        <v>226</v>
      </c>
      <c r="T27" t="s">
        <v>227</v>
      </c>
      <c r="U27" s="5" t="s">
        <v>228</v>
      </c>
      <c r="V27" s="5" t="s">
        <v>229</v>
      </c>
      <c r="W27" s="5"/>
      <c r="X27" s="5"/>
      <c r="Y27" s="5"/>
      <c r="Z27" s="5"/>
      <c r="AA27" s="5"/>
      <c r="AB27" s="5"/>
      <c r="AC27" s="5"/>
      <c r="AD27" s="5"/>
      <c r="AE27" s="5"/>
      <c r="AF27" s="5"/>
      <c r="AG27" s="5"/>
      <c r="AH27" s="5"/>
      <c r="AI27" s="5"/>
      <c r="AJ27" s="5" t="s">
        <v>230</v>
      </c>
      <c r="AK27" s="5"/>
      <c r="AL27" s="5"/>
      <c r="AM27" t="s">
        <v>231</v>
      </c>
      <c r="AN27" t="s">
        <v>95</v>
      </c>
    </row>
    <row r="28" spans="1:40">
      <c r="A28" t="s">
        <v>232</v>
      </c>
      <c r="C28" s="3">
        <v>45644</v>
      </c>
      <c r="E28" t="s">
        <v>47</v>
      </c>
      <c r="H28" t="str">
        <f>VLOOKUP(Table1[[#This Row],[Official_Defect_Name]],Sheet2!$A:$F,2,FALSE)</f>
        <v>TKSAL-013</v>
      </c>
      <c r="I28" t="s">
        <v>233</v>
      </c>
      <c r="K28" t="s">
        <v>233</v>
      </c>
      <c r="L28" t="str">
        <f>VLOOKUP(Table1[[#This Row],[Official_Defect_Name]],Table3[#All],6,1)</f>
        <v>Low</v>
      </c>
      <c r="M28" t="s">
        <v>43</v>
      </c>
      <c r="N28" t="s">
        <v>234</v>
      </c>
      <c r="R28" t="s">
        <v>235</v>
      </c>
      <c r="S28" t="s">
        <v>236</v>
      </c>
      <c r="T28" t="s">
        <v>237</v>
      </c>
      <c r="U28" s="5" t="s">
        <v>238</v>
      </c>
      <c r="V28" s="5" t="s">
        <v>239</v>
      </c>
      <c r="W28" s="5"/>
      <c r="X28" s="5"/>
      <c r="Y28" s="5"/>
      <c r="Z28" s="5"/>
      <c r="AA28" s="5"/>
      <c r="AB28" s="5"/>
      <c r="AC28" s="5"/>
      <c r="AD28" s="5"/>
      <c r="AE28" s="5"/>
      <c r="AF28" s="5"/>
      <c r="AG28" s="5"/>
      <c r="AH28" s="5"/>
      <c r="AI28" s="5"/>
      <c r="AJ28" s="5" t="s">
        <v>240</v>
      </c>
      <c r="AK28" s="5"/>
      <c r="AL28" s="5"/>
      <c r="AM28" t="s">
        <v>241</v>
      </c>
      <c r="AN28" t="s">
        <v>95</v>
      </c>
    </row>
    <row r="29" spans="1:40">
      <c r="A29" t="s">
        <v>242</v>
      </c>
      <c r="C29" s="3">
        <v>45645</v>
      </c>
      <c r="E29" t="s">
        <v>47</v>
      </c>
      <c r="H29" t="str">
        <f>VLOOKUP(Table1[[#This Row],[Official_Defect_Name]],Sheet2!$A:$F,2,FALSE)</f>
        <v>TKSAL-022</v>
      </c>
      <c r="I29" t="s">
        <v>243</v>
      </c>
      <c r="K29" t="s">
        <v>243</v>
      </c>
      <c r="L29" t="str">
        <f>VLOOKUP(Table1[[#This Row],[Official_Defect_Name]],Table3[#All],6,1)</f>
        <v>Low</v>
      </c>
      <c r="M29" t="s">
        <v>43</v>
      </c>
      <c r="N29" t="s">
        <v>244</v>
      </c>
      <c r="R29" t="s">
        <v>245</v>
      </c>
      <c r="S29" t="s">
        <v>246</v>
      </c>
      <c r="T29" t="s">
        <v>247</v>
      </c>
      <c r="U29" s="5" t="s">
        <v>248</v>
      </c>
      <c r="V29" s="5" t="s">
        <v>249</v>
      </c>
      <c r="W29" s="5"/>
      <c r="X29" s="5"/>
      <c r="Y29" s="5"/>
      <c r="Z29" s="5"/>
      <c r="AA29" s="5"/>
      <c r="AB29" s="5"/>
      <c r="AC29" s="5"/>
      <c r="AD29" s="5"/>
      <c r="AE29" s="5"/>
      <c r="AF29" s="5"/>
      <c r="AG29" s="5"/>
      <c r="AH29" s="5"/>
      <c r="AI29" s="5"/>
      <c r="AJ29" s="5" t="s">
        <v>250</v>
      </c>
      <c r="AK29" s="5"/>
      <c r="AL29" s="5"/>
      <c r="AM29" t="s">
        <v>250</v>
      </c>
      <c r="AN29" t="s">
        <v>74</v>
      </c>
    </row>
    <row r="30" spans="1:40">
      <c r="A30" t="s">
        <v>251</v>
      </c>
      <c r="C30" s="3">
        <v>45645</v>
      </c>
      <c r="E30" t="s">
        <v>47</v>
      </c>
      <c r="H30" t="str">
        <f>VLOOKUP(Table1[[#This Row],[Official_Defect_Name]],Sheet2!$A:$F,2,FALSE)</f>
        <v>TKSAL-002</v>
      </c>
      <c r="I30" t="s">
        <v>252</v>
      </c>
      <c r="K30" t="s">
        <v>252</v>
      </c>
      <c r="L30" t="e">
        <f>VLOOKUP(Table1[[#This Row],[Official_Defect_Name]],Table3[#All],6,1)</f>
        <v>#N/A</v>
      </c>
      <c r="M30" t="s">
        <v>43</v>
      </c>
      <c r="N30" t="s">
        <v>253</v>
      </c>
      <c r="R30" t="s">
        <v>254</v>
      </c>
      <c r="S30" t="s">
        <v>255</v>
      </c>
      <c r="T30" t="s">
        <v>256</v>
      </c>
      <c r="U30" s="5" t="s">
        <v>257</v>
      </c>
      <c r="V30" s="5" t="s">
        <v>258</v>
      </c>
      <c r="W30" s="5"/>
      <c r="X30" s="5"/>
      <c r="Y30" s="5"/>
      <c r="Z30" s="5"/>
      <c r="AA30" s="5"/>
      <c r="AB30" s="5"/>
      <c r="AC30" s="5"/>
      <c r="AD30" s="5"/>
      <c r="AE30" s="5"/>
      <c r="AF30" s="5"/>
      <c r="AG30" s="5"/>
      <c r="AH30" s="5"/>
      <c r="AI30" s="5"/>
      <c r="AJ30" s="5" t="s">
        <v>259</v>
      </c>
      <c r="AK30" s="5"/>
      <c r="AL30" s="5"/>
      <c r="AM30" t="s">
        <v>260</v>
      </c>
      <c r="AN30" t="s">
        <v>74</v>
      </c>
    </row>
    <row r="31" spans="1:40">
      <c r="A31" t="s">
        <v>261</v>
      </c>
      <c r="C31" s="3">
        <v>45646</v>
      </c>
      <c r="E31" t="s">
        <v>47</v>
      </c>
      <c r="H31" t="str">
        <f>VLOOKUP(Table1[[#This Row],[Official_Defect_Name]],Sheet2!$A:$F,2,FALSE)</f>
        <v>TKSAL-017</v>
      </c>
      <c r="I31" t="s">
        <v>65</v>
      </c>
      <c r="K31" t="s">
        <v>65</v>
      </c>
      <c r="L31" t="str">
        <f>VLOOKUP(Table1[[#This Row],[Official_Defect_Name]],Table3[#All],6,1)</f>
        <v>Low</v>
      </c>
      <c r="M31" t="s">
        <v>43</v>
      </c>
      <c r="N31" t="s">
        <v>49</v>
      </c>
      <c r="R31" t="s">
        <v>262</v>
      </c>
      <c r="S31" t="s">
        <v>263</v>
      </c>
      <c r="T31" t="s">
        <v>264</v>
      </c>
      <c r="U31" s="5" t="s">
        <v>265</v>
      </c>
      <c r="V31" s="5" t="s">
        <v>266</v>
      </c>
      <c r="W31" s="5"/>
      <c r="X31" s="5"/>
      <c r="Y31" s="5"/>
      <c r="Z31" s="5"/>
      <c r="AA31" s="5"/>
      <c r="AB31" s="5"/>
      <c r="AC31" s="5"/>
      <c r="AD31" s="5"/>
      <c r="AE31" s="5"/>
      <c r="AF31" s="5"/>
      <c r="AG31" s="5"/>
      <c r="AH31" s="5"/>
      <c r="AI31" s="5"/>
      <c r="AJ31" s="5" t="s">
        <v>267</v>
      </c>
      <c r="AK31" s="5"/>
      <c r="AL31" s="5"/>
      <c r="AM31" t="s">
        <v>268</v>
      </c>
      <c r="AN31" t="s">
        <v>74</v>
      </c>
    </row>
    <row r="32" spans="1:40">
      <c r="A32" t="s">
        <v>269</v>
      </c>
      <c r="C32" s="3">
        <v>45649</v>
      </c>
      <c r="E32" t="s">
        <v>47</v>
      </c>
      <c r="H32" t="str">
        <f>VLOOKUP(Table1[[#This Row],[Official_Defect_Name]],Sheet2!$A:$F,2,FALSE)</f>
        <v>TKSAL-009</v>
      </c>
      <c r="I32" t="s">
        <v>109</v>
      </c>
      <c r="K32" t="s">
        <v>109</v>
      </c>
      <c r="L32" t="str">
        <f>VLOOKUP(Table1[[#This Row],[Official_Defect_Name]],Table3[#All],6,1)</f>
        <v>Severity</v>
      </c>
      <c r="M32" t="s">
        <v>43</v>
      </c>
      <c r="N32" t="s">
        <v>244</v>
      </c>
      <c r="R32" t="s">
        <v>270</v>
      </c>
      <c r="S32" t="s">
        <v>271</v>
      </c>
      <c r="T32" t="s">
        <v>272</v>
      </c>
      <c r="U32" s="5" t="s">
        <v>273</v>
      </c>
      <c r="V32" s="5" t="s">
        <v>274</v>
      </c>
      <c r="W32" s="5"/>
      <c r="X32" s="5"/>
      <c r="Y32" s="5"/>
      <c r="Z32" s="5"/>
      <c r="AA32" s="5"/>
      <c r="AB32" s="5"/>
      <c r="AC32" s="5"/>
      <c r="AD32" s="5"/>
      <c r="AE32" s="5"/>
      <c r="AF32" s="5"/>
      <c r="AG32" s="5"/>
      <c r="AH32" s="5"/>
      <c r="AI32" s="5"/>
      <c r="AJ32" s="5" t="s">
        <v>275</v>
      </c>
      <c r="AK32" s="5"/>
      <c r="AL32" s="5"/>
      <c r="AM32" t="s">
        <v>276</v>
      </c>
      <c r="AN32" t="s">
        <v>74</v>
      </c>
    </row>
    <row r="33" spans="1:40">
      <c r="A33" t="s">
        <v>277</v>
      </c>
      <c r="C33" s="3">
        <v>45650</v>
      </c>
      <c r="E33" t="s">
        <v>278</v>
      </c>
      <c r="H33" t="str">
        <f>VLOOKUP(Table1[[#This Row],[Official_Defect_Name]],Sheet2!$A:$F,2,FALSE)</f>
        <v>TKSAL-022</v>
      </c>
      <c r="I33" t="s">
        <v>243</v>
      </c>
      <c r="K33" t="s">
        <v>243</v>
      </c>
      <c r="L33" t="str">
        <f>VLOOKUP(Table1[[#This Row],[Official_Defect_Name]],Table3[#All],6,1)</f>
        <v>Low</v>
      </c>
      <c r="M33" t="s">
        <v>43</v>
      </c>
      <c r="N33" t="s">
        <v>244</v>
      </c>
      <c r="R33" t="s">
        <v>279</v>
      </c>
      <c r="S33" t="s">
        <v>280</v>
      </c>
      <c r="T33" t="s">
        <v>281</v>
      </c>
      <c r="U33" s="5" t="s">
        <v>282</v>
      </c>
      <c r="V33" s="5" t="s">
        <v>283</v>
      </c>
      <c r="W33" s="5"/>
      <c r="X33" s="5"/>
      <c r="Y33" s="5"/>
      <c r="Z33" s="5"/>
      <c r="AA33" s="5"/>
      <c r="AB33" s="5"/>
      <c r="AC33" s="5"/>
      <c r="AD33" s="5"/>
      <c r="AE33" s="5"/>
      <c r="AF33" s="5"/>
      <c r="AG33" s="5"/>
      <c r="AH33" s="5"/>
      <c r="AI33" s="5"/>
      <c r="AJ33" s="5" t="s">
        <v>284</v>
      </c>
      <c r="AK33" s="5"/>
      <c r="AL33" s="5"/>
      <c r="AM33" t="s">
        <v>285</v>
      </c>
      <c r="AN33" t="s">
        <v>84</v>
      </c>
    </row>
    <row r="34" spans="1:40">
      <c r="A34" t="s">
        <v>286</v>
      </c>
      <c r="C34" s="3">
        <v>45657</v>
      </c>
      <c r="E34" t="s">
        <v>41</v>
      </c>
      <c r="H34" t="str">
        <f>VLOOKUP(Table1[[#This Row],[Official_Defect_Name]],Sheet2!$A:$F,2,FALSE)</f>
        <v>TKSFE-001</v>
      </c>
      <c r="I34" t="s">
        <v>225</v>
      </c>
      <c r="K34" t="s">
        <v>225</v>
      </c>
      <c r="L34" t="str">
        <f>VLOOKUP(Table1[[#This Row],[Official_Defect_Name]],Table3[#All],6,1)</f>
        <v>High</v>
      </c>
      <c r="M34" t="s">
        <v>43</v>
      </c>
      <c r="N34" t="s">
        <v>49</v>
      </c>
      <c r="R34" t="s">
        <v>191</v>
      </c>
      <c r="S34" t="s">
        <v>287</v>
      </c>
      <c r="T34" t="s">
        <v>288</v>
      </c>
      <c r="U34" s="5" t="s">
        <v>289</v>
      </c>
      <c r="V34" s="5" t="s">
        <v>290</v>
      </c>
      <c r="W34" s="5"/>
      <c r="X34" s="5"/>
      <c r="Y34" s="5"/>
      <c r="Z34" s="5"/>
      <c r="AA34" s="5"/>
      <c r="AB34" s="5"/>
      <c r="AC34" s="5"/>
      <c r="AD34" s="5"/>
      <c r="AE34" s="5"/>
      <c r="AF34" s="5"/>
      <c r="AG34" s="5"/>
      <c r="AH34" s="5"/>
      <c r="AI34" s="5"/>
      <c r="AJ34" s="5" t="s">
        <v>291</v>
      </c>
      <c r="AK34" s="5"/>
      <c r="AL34" s="5"/>
      <c r="AM34" t="s">
        <v>292</v>
      </c>
      <c r="AN34" t="s">
        <v>95</v>
      </c>
    </row>
    <row r="35" spans="1:40">
      <c r="A35" t="s">
        <v>293</v>
      </c>
      <c r="C35" s="3">
        <v>45659</v>
      </c>
      <c r="E35" t="s">
        <v>41</v>
      </c>
      <c r="H35" t="str">
        <f>VLOOKUP(Table1[[#This Row],[Official_Defect_Name]],Sheet2!$A:$F,2,FALSE)</f>
        <v>TKSAL-025</v>
      </c>
      <c r="I35" t="s">
        <v>125</v>
      </c>
      <c r="K35" t="s">
        <v>125</v>
      </c>
      <c r="L35" t="str">
        <f>VLOOKUP(Table1[[#This Row],[Official_Defect_Name]],Table3[#All],6,1)</f>
        <v>Low</v>
      </c>
      <c r="M35" t="s">
        <v>43</v>
      </c>
      <c r="N35" t="s">
        <v>87</v>
      </c>
      <c r="R35" t="s">
        <v>294</v>
      </c>
      <c r="S35" t="s">
        <v>295</v>
      </c>
      <c r="T35" t="s">
        <v>296</v>
      </c>
      <c r="U35" s="5" t="s">
        <v>297</v>
      </c>
      <c r="V35" s="5" t="s">
        <v>298</v>
      </c>
      <c r="W35" s="5"/>
      <c r="X35" s="5"/>
      <c r="Y35" s="5"/>
      <c r="Z35" s="5"/>
      <c r="AA35" s="5"/>
      <c r="AB35" s="5"/>
      <c r="AC35" s="5"/>
      <c r="AD35" s="5"/>
      <c r="AE35" s="5"/>
      <c r="AF35" s="5"/>
      <c r="AG35" s="5"/>
      <c r="AH35" s="5"/>
      <c r="AI35" s="5"/>
      <c r="AJ35" s="5" t="s">
        <v>299</v>
      </c>
      <c r="AK35" s="5"/>
      <c r="AL35" s="5"/>
      <c r="AM35" t="s">
        <v>299</v>
      </c>
      <c r="AN35" t="s">
        <v>74</v>
      </c>
    </row>
    <row r="36" spans="1:40">
      <c r="A36" t="s">
        <v>300</v>
      </c>
      <c r="C36" s="3">
        <v>45659</v>
      </c>
      <c r="E36" t="s">
        <v>41</v>
      </c>
      <c r="H36" t="str">
        <f>VLOOKUP(Table1[[#This Row],[Official_Defect_Name]],Sheet2!$A:$F,2,FALSE)</f>
        <v>TKSAL-025</v>
      </c>
      <c r="I36" t="s">
        <v>125</v>
      </c>
      <c r="K36" t="s">
        <v>125</v>
      </c>
      <c r="L36" t="str">
        <f>VLOOKUP(Table1[[#This Row],[Official_Defect_Name]],Table3[#All],6,1)</f>
        <v>Low</v>
      </c>
      <c r="M36" t="s">
        <v>43</v>
      </c>
      <c r="N36" t="s">
        <v>77</v>
      </c>
      <c r="R36" t="s">
        <v>301</v>
      </c>
      <c r="U36" s="5"/>
      <c r="V36" s="5" t="s">
        <v>302</v>
      </c>
      <c r="W36" s="5"/>
      <c r="X36" s="5"/>
      <c r="Y36" s="5"/>
      <c r="Z36" s="5"/>
      <c r="AA36" s="5"/>
      <c r="AB36" s="5"/>
      <c r="AC36" s="5"/>
      <c r="AD36" s="5"/>
      <c r="AE36" s="5"/>
      <c r="AF36" s="5"/>
      <c r="AG36" s="5"/>
      <c r="AH36" s="5"/>
      <c r="AI36" s="5"/>
      <c r="AJ36" s="5"/>
      <c r="AK36" s="5"/>
      <c r="AL36" s="5"/>
    </row>
    <row r="37" spans="1:40">
      <c r="A37" t="s">
        <v>303</v>
      </c>
      <c r="C37" s="3">
        <v>45660</v>
      </c>
      <c r="E37" t="s">
        <v>278</v>
      </c>
      <c r="H37" t="str">
        <f>VLOOKUP(Table1[[#This Row],[Official_Defect_Name]],Sheet2!$A:$F,2,FALSE)</f>
        <v>TKSAL-009</v>
      </c>
      <c r="I37" t="s">
        <v>109</v>
      </c>
      <c r="K37" t="s">
        <v>109</v>
      </c>
      <c r="L37" t="str">
        <f>VLOOKUP(Table1[[#This Row],[Official_Defect_Name]],Table3[#All],6,1)</f>
        <v>Severity</v>
      </c>
      <c r="M37" t="s">
        <v>43</v>
      </c>
      <c r="N37" t="s">
        <v>49</v>
      </c>
      <c r="R37" t="s">
        <v>55</v>
      </c>
      <c r="S37" t="s">
        <v>304</v>
      </c>
      <c r="T37" t="s">
        <v>305</v>
      </c>
      <c r="U37" s="5" t="s">
        <v>306</v>
      </c>
      <c r="V37" s="5" t="s">
        <v>307</v>
      </c>
      <c r="W37" s="5"/>
      <c r="X37" s="5"/>
      <c r="Y37" s="5"/>
      <c r="Z37" s="5"/>
      <c r="AA37" s="5"/>
      <c r="AB37" s="5"/>
      <c r="AC37" s="5"/>
      <c r="AD37" s="5"/>
      <c r="AE37" s="5"/>
      <c r="AF37" s="5"/>
      <c r="AG37" s="5"/>
      <c r="AH37" s="5"/>
      <c r="AI37" s="5"/>
      <c r="AJ37" s="5" t="s">
        <v>308</v>
      </c>
      <c r="AK37" s="5"/>
      <c r="AL37" s="5"/>
      <c r="AM37" t="s">
        <v>309</v>
      </c>
      <c r="AN37" t="s">
        <v>84</v>
      </c>
    </row>
    <row r="38" spans="1:40">
      <c r="A38" t="s">
        <v>310</v>
      </c>
      <c r="C38" s="3">
        <v>45660</v>
      </c>
      <c r="E38" t="s">
        <v>41</v>
      </c>
      <c r="H38" t="str">
        <f>VLOOKUP(Table1[[#This Row],[Official_Defect_Name]],Sheet2!$A:$F,2,FALSE)</f>
        <v>TKSAL-010</v>
      </c>
      <c r="I38" t="s">
        <v>48</v>
      </c>
      <c r="K38" t="s">
        <v>48</v>
      </c>
      <c r="L38" t="str">
        <f>VLOOKUP(Table1[[#This Row],[Official_Defect_Name]],Table3[#All],6,1)</f>
        <v>Critical</v>
      </c>
      <c r="M38" t="s">
        <v>43</v>
      </c>
      <c r="N38" t="s">
        <v>49</v>
      </c>
      <c r="R38" t="s">
        <v>270</v>
      </c>
      <c r="U38" s="5"/>
      <c r="V38" s="5" t="s">
        <v>311</v>
      </c>
      <c r="W38" s="5"/>
      <c r="X38" s="5"/>
      <c r="Y38" s="5"/>
      <c r="Z38" s="5"/>
      <c r="AA38" s="5"/>
      <c r="AB38" s="5"/>
      <c r="AC38" s="5"/>
      <c r="AD38" s="5"/>
      <c r="AE38" s="5"/>
      <c r="AF38" s="5"/>
      <c r="AG38" s="5"/>
      <c r="AH38" s="5"/>
      <c r="AI38" s="5"/>
      <c r="AJ38" s="5"/>
      <c r="AK38" s="5"/>
      <c r="AL38" s="5"/>
    </row>
    <row r="39" spans="1:40">
      <c r="A39" t="s">
        <v>312</v>
      </c>
      <c r="C39" s="3">
        <v>45666</v>
      </c>
      <c r="E39" t="s">
        <v>41</v>
      </c>
      <c r="H39" t="str">
        <f>VLOOKUP(Table1[[#This Row],[Official_Defect_Name]],Sheet2!$A:$F,2,FALSE)</f>
        <v>TKSAL-025</v>
      </c>
      <c r="I39" t="s">
        <v>125</v>
      </c>
      <c r="K39" t="s">
        <v>125</v>
      </c>
      <c r="L39" t="str">
        <f>VLOOKUP(Table1[[#This Row],[Official_Defect_Name]],Table3[#All],6,1)</f>
        <v>Low</v>
      </c>
      <c r="M39" t="s">
        <v>43</v>
      </c>
      <c r="N39" t="s">
        <v>87</v>
      </c>
      <c r="R39" t="s">
        <v>301</v>
      </c>
      <c r="S39" t="s">
        <v>313</v>
      </c>
      <c r="T39" t="s">
        <v>314</v>
      </c>
      <c r="U39" s="5" t="s">
        <v>315</v>
      </c>
      <c r="V39" s="5" t="s">
        <v>316</v>
      </c>
      <c r="W39" s="5"/>
      <c r="X39" s="5"/>
      <c r="Y39" s="5"/>
      <c r="Z39" s="5"/>
      <c r="AA39" s="5"/>
      <c r="AB39" s="5"/>
      <c r="AC39" s="5"/>
      <c r="AD39" s="5"/>
      <c r="AE39" s="5"/>
      <c r="AF39" s="5"/>
      <c r="AG39" s="5"/>
      <c r="AH39" s="5"/>
      <c r="AI39" s="5"/>
      <c r="AJ39" s="5" t="s">
        <v>317</v>
      </c>
      <c r="AK39" s="5"/>
      <c r="AL39" s="5"/>
      <c r="AM39" t="s">
        <v>318</v>
      </c>
      <c r="AN39" t="s">
        <v>84</v>
      </c>
    </row>
    <row r="40" spans="1:40">
      <c r="A40" t="s">
        <v>319</v>
      </c>
      <c r="C40" s="3">
        <v>45666</v>
      </c>
      <c r="E40" t="s">
        <v>41</v>
      </c>
      <c r="H40" t="str">
        <f>VLOOKUP(Table1[[#This Row],[Official_Defect_Name]],Sheet2!$A:$F,2,FALSE)</f>
        <v>TKSAL-004</v>
      </c>
      <c r="I40" t="s">
        <v>42</v>
      </c>
      <c r="K40" t="s">
        <v>42</v>
      </c>
      <c r="L40" t="e">
        <f>VLOOKUP(Table1[[#This Row],[Official_Defect_Name]],Table3[#All],6,1)</f>
        <v>#N/A</v>
      </c>
      <c r="M40" t="s">
        <v>43</v>
      </c>
      <c r="N40" t="s">
        <v>105</v>
      </c>
      <c r="R40" t="s">
        <v>320</v>
      </c>
      <c r="S40" t="s">
        <v>321</v>
      </c>
      <c r="T40" t="s">
        <v>322</v>
      </c>
      <c r="U40" s="5" t="s">
        <v>323</v>
      </c>
      <c r="V40" s="5" t="s">
        <v>324</v>
      </c>
      <c r="W40" s="5"/>
      <c r="X40" s="5"/>
      <c r="Y40" s="5"/>
      <c r="Z40" s="5"/>
      <c r="AA40" s="5"/>
      <c r="AB40" s="5"/>
      <c r="AC40" s="5"/>
      <c r="AD40" s="5"/>
      <c r="AE40" s="5"/>
      <c r="AF40" s="5"/>
      <c r="AG40" s="5"/>
      <c r="AH40" s="5"/>
      <c r="AI40" s="5"/>
      <c r="AJ40" s="5" t="s">
        <v>325</v>
      </c>
      <c r="AK40" s="5"/>
      <c r="AL40" s="5"/>
      <c r="AM40" t="s">
        <v>326</v>
      </c>
      <c r="AN40" t="s">
        <v>84</v>
      </c>
    </row>
    <row r="41" spans="1:40">
      <c r="A41" t="s">
        <v>327</v>
      </c>
      <c r="C41" s="3">
        <v>45667</v>
      </c>
      <c r="E41" t="s">
        <v>47</v>
      </c>
      <c r="H41" t="str">
        <f>VLOOKUP(Table1[[#This Row],[Official_Defect_Name]],Sheet2!$A:$F,2,FALSE)</f>
        <v>TKSAL-007</v>
      </c>
      <c r="I41" t="s">
        <v>169</v>
      </c>
      <c r="K41" t="s">
        <v>169</v>
      </c>
      <c r="L41" t="e">
        <f>VLOOKUP(Table1[[#This Row],[Official_Defect_Name]],Table3[#All],6,1)</f>
        <v>#N/A</v>
      </c>
      <c r="M41" t="s">
        <v>43</v>
      </c>
      <c r="N41" t="s">
        <v>87</v>
      </c>
      <c r="R41" t="s">
        <v>151</v>
      </c>
      <c r="S41" t="s">
        <v>328</v>
      </c>
      <c r="T41" t="s">
        <v>329</v>
      </c>
      <c r="U41" s="5" t="s">
        <v>330</v>
      </c>
      <c r="V41" s="5" t="s">
        <v>331</v>
      </c>
      <c r="W41" s="5"/>
      <c r="X41" s="5"/>
      <c r="Y41" s="5"/>
      <c r="Z41" s="5"/>
      <c r="AA41" s="5"/>
      <c r="AB41" s="5"/>
      <c r="AC41" s="5"/>
      <c r="AD41" s="5"/>
      <c r="AE41" s="5"/>
      <c r="AF41" s="5"/>
      <c r="AG41" s="5"/>
      <c r="AH41" s="5"/>
      <c r="AI41" s="5"/>
      <c r="AJ41" s="5" t="s">
        <v>332</v>
      </c>
      <c r="AK41" s="5"/>
      <c r="AL41" s="5"/>
      <c r="AM41" t="s">
        <v>333</v>
      </c>
      <c r="AN41" t="s">
        <v>74</v>
      </c>
    </row>
    <row r="42" spans="1:40">
      <c r="A42" t="s">
        <v>334</v>
      </c>
      <c r="C42" s="3">
        <v>45667</v>
      </c>
      <c r="E42" t="s">
        <v>41</v>
      </c>
      <c r="H42" t="str">
        <f>VLOOKUP(Table1[[#This Row],[Official_Defect_Name]],Sheet2!$A:$F,2,FALSE)</f>
        <v>TKSAL-018</v>
      </c>
      <c r="I42" t="s">
        <v>335</v>
      </c>
      <c r="K42" t="s">
        <v>335</v>
      </c>
      <c r="L42" t="str">
        <f>VLOOKUP(Table1[[#This Row],[Official_Defect_Name]],Table3[#All],6,1)</f>
        <v>Low</v>
      </c>
      <c r="M42" t="s">
        <v>43</v>
      </c>
      <c r="N42" t="s">
        <v>336</v>
      </c>
      <c r="R42" t="s">
        <v>337</v>
      </c>
      <c r="S42" t="s">
        <v>338</v>
      </c>
      <c r="T42" t="s">
        <v>339</v>
      </c>
      <c r="U42" s="5" t="s">
        <v>340</v>
      </c>
      <c r="V42" s="5" t="s">
        <v>341</v>
      </c>
      <c r="W42" s="5"/>
      <c r="X42" s="5"/>
      <c r="Y42" s="5"/>
      <c r="Z42" s="5"/>
      <c r="AA42" s="5"/>
      <c r="AB42" s="5"/>
      <c r="AC42" s="5"/>
      <c r="AD42" s="5"/>
      <c r="AE42" s="5"/>
      <c r="AF42" s="5"/>
      <c r="AG42" s="5"/>
      <c r="AH42" s="5"/>
      <c r="AI42" s="5"/>
      <c r="AJ42" s="5" t="s">
        <v>342</v>
      </c>
      <c r="AK42" s="5"/>
      <c r="AL42" s="5"/>
      <c r="AM42" t="s">
        <v>343</v>
      </c>
      <c r="AN42" t="s">
        <v>74</v>
      </c>
    </row>
    <row r="43" spans="1:40">
      <c r="A43" t="s">
        <v>344</v>
      </c>
      <c r="C43" s="3">
        <v>45667</v>
      </c>
      <c r="E43" t="s">
        <v>278</v>
      </c>
      <c r="H43" t="str">
        <f>VLOOKUP(Table1[[#This Row],[Official_Defect_Name]],Sheet2!$A:$F,2,FALSE)</f>
        <v>TKSAL-022</v>
      </c>
      <c r="I43" t="s">
        <v>243</v>
      </c>
      <c r="K43" t="s">
        <v>243</v>
      </c>
      <c r="L43" t="str">
        <f>VLOOKUP(Table1[[#This Row],[Official_Defect_Name]],Table3[#All],6,1)</f>
        <v>Low</v>
      </c>
      <c r="M43" t="s">
        <v>43</v>
      </c>
      <c r="N43" t="s">
        <v>244</v>
      </c>
      <c r="R43" t="s">
        <v>345</v>
      </c>
      <c r="S43" t="s">
        <v>346</v>
      </c>
      <c r="T43" t="s">
        <v>347</v>
      </c>
      <c r="U43" s="5" t="s">
        <v>348</v>
      </c>
      <c r="V43" s="5" t="s">
        <v>349</v>
      </c>
      <c r="W43" s="5"/>
      <c r="X43" s="5"/>
      <c r="Y43" s="5"/>
      <c r="Z43" s="5"/>
      <c r="AA43" s="5"/>
      <c r="AB43" s="5"/>
      <c r="AC43" s="5"/>
      <c r="AD43" s="5"/>
      <c r="AE43" s="5"/>
      <c r="AF43" s="5"/>
      <c r="AG43" s="5"/>
      <c r="AH43" s="5"/>
      <c r="AI43" s="5"/>
      <c r="AJ43" s="5" t="s">
        <v>350</v>
      </c>
      <c r="AK43" s="5"/>
      <c r="AL43" s="5"/>
      <c r="AM43" t="s">
        <v>350</v>
      </c>
      <c r="AN43" t="s">
        <v>74</v>
      </c>
    </row>
    <row r="44" spans="1:40">
      <c r="A44" t="s">
        <v>351</v>
      </c>
      <c r="C44" s="3">
        <v>45670</v>
      </c>
      <c r="E44" t="s">
        <v>47</v>
      </c>
      <c r="H44" t="str">
        <f>VLOOKUP(Table1[[#This Row],[Official_Defect_Name]],Sheet2!$A:$F,2,FALSE)</f>
        <v>TKSAL-011</v>
      </c>
      <c r="I44" t="s">
        <v>352</v>
      </c>
      <c r="K44" t="s">
        <v>352</v>
      </c>
      <c r="L44" t="str">
        <f>VLOOKUP(Table1[[#This Row],[Official_Defect_Name]],Table3[#All],6,1)</f>
        <v>Low</v>
      </c>
      <c r="M44" t="s">
        <v>43</v>
      </c>
      <c r="N44" t="s">
        <v>87</v>
      </c>
      <c r="R44" t="s">
        <v>353</v>
      </c>
      <c r="S44" t="s">
        <v>354</v>
      </c>
      <c r="T44" t="s">
        <v>355</v>
      </c>
      <c r="U44" s="5" t="s">
        <v>356</v>
      </c>
      <c r="V44" s="5" t="s">
        <v>357</v>
      </c>
      <c r="W44" s="5"/>
      <c r="X44" s="5"/>
      <c r="Y44" s="5"/>
      <c r="Z44" s="5"/>
      <c r="AA44" s="5"/>
      <c r="AB44" s="5"/>
      <c r="AC44" s="5"/>
      <c r="AD44" s="5"/>
      <c r="AE44" s="5"/>
      <c r="AF44" s="5"/>
      <c r="AG44" s="5"/>
      <c r="AH44" s="5"/>
      <c r="AI44" s="5"/>
      <c r="AJ44" s="5" t="s">
        <v>358</v>
      </c>
      <c r="AK44" s="5"/>
      <c r="AL44" s="5"/>
      <c r="AM44" t="s">
        <v>359</v>
      </c>
      <c r="AN44" t="s">
        <v>74</v>
      </c>
    </row>
    <row r="45" spans="1:40">
      <c r="A45" t="s">
        <v>360</v>
      </c>
      <c r="C45" s="3">
        <v>45671</v>
      </c>
      <c r="E45" t="s">
        <v>41</v>
      </c>
      <c r="H45" t="str">
        <f>VLOOKUP(Table1[[#This Row],[Official_Defect_Name]],Sheet2!$A:$F,2,FALSE)</f>
        <v>TKSAL-004</v>
      </c>
      <c r="I45" t="s">
        <v>42</v>
      </c>
      <c r="K45" t="s">
        <v>42</v>
      </c>
      <c r="L45" t="e">
        <f>VLOOKUP(Table1[[#This Row],[Official_Defect_Name]],Table3[#All],6,1)</f>
        <v>#N/A</v>
      </c>
      <c r="M45" t="s">
        <v>43</v>
      </c>
      <c r="N45" t="s">
        <v>361</v>
      </c>
      <c r="R45" t="s">
        <v>362</v>
      </c>
      <c r="S45" t="s">
        <v>363</v>
      </c>
      <c r="T45" t="s">
        <v>364</v>
      </c>
      <c r="U45" s="5" t="s">
        <v>365</v>
      </c>
      <c r="V45" s="5" t="s">
        <v>366</v>
      </c>
      <c r="W45" s="5"/>
      <c r="X45" s="5"/>
      <c r="Y45" s="5"/>
      <c r="Z45" s="5"/>
      <c r="AA45" s="5"/>
      <c r="AB45" s="5"/>
      <c r="AC45" s="5"/>
      <c r="AD45" s="5"/>
      <c r="AE45" s="5"/>
      <c r="AF45" s="5"/>
      <c r="AG45" s="5"/>
      <c r="AH45" s="5"/>
      <c r="AI45" s="5"/>
      <c r="AJ45" s="5" t="s">
        <v>367</v>
      </c>
      <c r="AK45" s="5"/>
      <c r="AL45" s="5"/>
      <c r="AM45" t="s">
        <v>368</v>
      </c>
      <c r="AN45" t="s">
        <v>74</v>
      </c>
    </row>
    <row r="46" spans="1:40">
      <c r="A46" t="s">
        <v>369</v>
      </c>
      <c r="C46" s="3">
        <v>45671</v>
      </c>
      <c r="E46" t="s">
        <v>41</v>
      </c>
      <c r="H46" t="str">
        <f>VLOOKUP(Table1[[#This Row],[Official_Defect_Name]],Sheet2!$A:$F,2,FALSE)</f>
        <v>TKSAL-004</v>
      </c>
      <c r="I46" t="s">
        <v>42</v>
      </c>
      <c r="K46" t="s">
        <v>42</v>
      </c>
      <c r="L46" t="e">
        <f>VLOOKUP(Table1[[#This Row],[Official_Defect_Name]],Table3[#All],6,1)</f>
        <v>#N/A</v>
      </c>
      <c r="M46" t="s">
        <v>43</v>
      </c>
      <c r="N46" t="s">
        <v>361</v>
      </c>
      <c r="R46" t="s">
        <v>97</v>
      </c>
      <c r="S46" t="s">
        <v>363</v>
      </c>
      <c r="T46" t="s">
        <v>370</v>
      </c>
      <c r="U46" s="5" t="s">
        <v>371</v>
      </c>
      <c r="V46" s="5" t="s">
        <v>372</v>
      </c>
      <c r="W46" s="5"/>
      <c r="X46" s="5"/>
      <c r="Y46" s="5"/>
      <c r="Z46" s="5"/>
      <c r="AA46" s="5"/>
      <c r="AB46" s="5"/>
      <c r="AC46" s="5"/>
      <c r="AD46" s="5"/>
      <c r="AE46" s="5"/>
      <c r="AF46" s="5"/>
      <c r="AG46" s="5"/>
      <c r="AH46" s="5"/>
      <c r="AI46" s="5"/>
      <c r="AJ46" s="5" t="s">
        <v>367</v>
      </c>
      <c r="AK46" s="5"/>
      <c r="AL46" s="5"/>
      <c r="AM46" t="s">
        <v>368</v>
      </c>
      <c r="AN46" t="s">
        <v>74</v>
      </c>
    </row>
    <row r="47" spans="1:40">
      <c r="A47" t="s">
        <v>373</v>
      </c>
      <c r="C47" s="3">
        <v>45672</v>
      </c>
      <c r="E47" t="s">
        <v>41</v>
      </c>
      <c r="H47" t="str">
        <f>VLOOKUP(Table1[[#This Row],[Official_Defect_Name]],Sheet2!$A:$F,2,FALSE)</f>
        <v>TKSAL-026</v>
      </c>
      <c r="I47" t="s">
        <v>374</v>
      </c>
      <c r="K47" t="s">
        <v>374</v>
      </c>
      <c r="L47" t="str">
        <f>VLOOKUP(Table1[[#This Row],[Official_Defect_Name]],Table3[#All],6,1)</f>
        <v>Low</v>
      </c>
      <c r="M47" t="s">
        <v>43</v>
      </c>
      <c r="N47" t="s">
        <v>49</v>
      </c>
      <c r="R47" t="s">
        <v>375</v>
      </c>
      <c r="S47" t="s">
        <v>376</v>
      </c>
      <c r="T47" t="s">
        <v>377</v>
      </c>
      <c r="U47" s="5" t="s">
        <v>378</v>
      </c>
      <c r="V47" s="5" t="s">
        <v>379</v>
      </c>
      <c r="W47" s="5"/>
      <c r="X47" s="5"/>
      <c r="Y47" s="5"/>
      <c r="Z47" s="5"/>
      <c r="AA47" s="5"/>
      <c r="AB47" s="5"/>
      <c r="AC47" s="5"/>
      <c r="AD47" s="5"/>
      <c r="AE47" s="5"/>
      <c r="AF47" s="5"/>
      <c r="AG47" s="5"/>
      <c r="AH47" s="5"/>
      <c r="AI47" s="5"/>
      <c r="AJ47" s="5" t="s">
        <v>380</v>
      </c>
      <c r="AK47" s="5"/>
      <c r="AL47" s="5"/>
      <c r="AM47" t="s">
        <v>381</v>
      </c>
      <c r="AN47" t="s">
        <v>95</v>
      </c>
    </row>
    <row r="48" spans="1:40">
      <c r="A48" t="s">
        <v>382</v>
      </c>
      <c r="C48" s="3">
        <v>45673</v>
      </c>
      <c r="E48" t="s">
        <v>41</v>
      </c>
      <c r="H48" t="str">
        <f>VLOOKUP(Table1[[#This Row],[Official_Defect_Name]],Sheet2!$A:$F,2,FALSE)</f>
        <v>TKSAL-004</v>
      </c>
      <c r="I48" t="s">
        <v>42</v>
      </c>
      <c r="K48" t="s">
        <v>42</v>
      </c>
      <c r="L48" t="e">
        <f>VLOOKUP(Table1[[#This Row],[Official_Defect_Name]],Table3[#All],6,1)</f>
        <v>#N/A</v>
      </c>
      <c r="M48" t="s">
        <v>43</v>
      </c>
      <c r="N48" t="s">
        <v>383</v>
      </c>
      <c r="R48" t="s">
        <v>320</v>
      </c>
      <c r="S48" t="s">
        <v>384</v>
      </c>
      <c r="T48" t="s">
        <v>385</v>
      </c>
      <c r="U48" s="5" t="s">
        <v>386</v>
      </c>
      <c r="V48" s="5" t="s">
        <v>387</v>
      </c>
      <c r="W48" s="5"/>
      <c r="X48" s="5"/>
      <c r="Y48" s="5"/>
      <c r="Z48" s="5"/>
      <c r="AA48" s="5"/>
      <c r="AB48" s="5"/>
      <c r="AC48" s="5"/>
      <c r="AD48" s="5"/>
      <c r="AE48" s="5"/>
      <c r="AF48" s="5"/>
      <c r="AG48" s="5"/>
      <c r="AH48" s="5"/>
      <c r="AI48" s="5"/>
      <c r="AJ48" s="5" t="s">
        <v>299</v>
      </c>
      <c r="AK48" s="5"/>
      <c r="AL48" s="5"/>
      <c r="AM48" t="s">
        <v>299</v>
      </c>
      <c r="AN48" t="s">
        <v>74</v>
      </c>
    </row>
    <row r="49" spans="1:40">
      <c r="A49" t="s">
        <v>388</v>
      </c>
      <c r="C49" s="3">
        <v>45673</v>
      </c>
      <c r="E49" t="s">
        <v>41</v>
      </c>
      <c r="H49" t="str">
        <f>VLOOKUP(Table1[[#This Row],[Official_Defect_Name]],Sheet2!$A:$F,2,FALSE)</f>
        <v>TKSAL-025</v>
      </c>
      <c r="I49" t="s">
        <v>125</v>
      </c>
      <c r="K49" t="s">
        <v>125</v>
      </c>
      <c r="L49" t="str">
        <f>VLOOKUP(Table1[[#This Row],[Official_Defect_Name]],Table3[#All],6,1)</f>
        <v>Low</v>
      </c>
      <c r="M49" t="s">
        <v>43</v>
      </c>
      <c r="N49" t="s">
        <v>87</v>
      </c>
      <c r="R49" t="s">
        <v>301</v>
      </c>
      <c r="S49" t="s">
        <v>389</v>
      </c>
      <c r="T49" t="s">
        <v>390</v>
      </c>
      <c r="U49" s="5" t="s">
        <v>391</v>
      </c>
      <c r="V49" s="5" t="s">
        <v>392</v>
      </c>
      <c r="W49" s="5"/>
      <c r="X49" s="5"/>
      <c r="Y49" s="5"/>
      <c r="Z49" s="5"/>
      <c r="AA49" s="5"/>
      <c r="AB49" s="5"/>
      <c r="AC49" s="5"/>
      <c r="AD49" s="5"/>
      <c r="AE49" s="5"/>
      <c r="AF49" s="5"/>
      <c r="AG49" s="5"/>
      <c r="AH49" s="5"/>
      <c r="AI49" s="5"/>
      <c r="AJ49" s="5" t="s">
        <v>393</v>
      </c>
      <c r="AK49" s="5"/>
      <c r="AL49" s="5"/>
      <c r="AM49" t="s">
        <v>393</v>
      </c>
      <c r="AN49" t="s">
        <v>74</v>
      </c>
    </row>
    <row r="50" spans="1:40">
      <c r="A50" t="s">
        <v>394</v>
      </c>
      <c r="C50" s="3">
        <v>45673</v>
      </c>
      <c r="E50" t="s">
        <v>41</v>
      </c>
      <c r="H50" t="str">
        <f>VLOOKUP(Table1[[#This Row],[Official_Defect_Name]],Sheet2!$A:$F,2,FALSE)</f>
        <v>TKSAL-022</v>
      </c>
      <c r="I50" t="s">
        <v>243</v>
      </c>
      <c r="K50" t="s">
        <v>243</v>
      </c>
      <c r="L50" t="str">
        <f>VLOOKUP(Table1[[#This Row],[Official_Defect_Name]],Table3[#All],6,1)</f>
        <v>Low</v>
      </c>
      <c r="M50" t="s">
        <v>43</v>
      </c>
      <c r="N50" t="s">
        <v>244</v>
      </c>
      <c r="R50" t="s">
        <v>395</v>
      </c>
      <c r="S50" t="s">
        <v>396</v>
      </c>
      <c r="T50" t="s">
        <v>397</v>
      </c>
      <c r="U50" s="5" t="s">
        <v>398</v>
      </c>
      <c r="V50" s="5" t="s">
        <v>399</v>
      </c>
      <c r="W50" s="5"/>
      <c r="X50" s="5"/>
      <c r="Y50" s="5"/>
      <c r="Z50" s="5"/>
      <c r="AA50" s="5"/>
      <c r="AB50" s="5"/>
      <c r="AC50" s="5"/>
      <c r="AD50" s="5"/>
      <c r="AE50" s="5"/>
      <c r="AF50" s="5"/>
      <c r="AG50" s="5"/>
      <c r="AH50" s="5"/>
      <c r="AI50" s="5"/>
      <c r="AJ50" s="5" t="s">
        <v>400</v>
      </c>
      <c r="AK50" s="5"/>
      <c r="AL50" s="5"/>
      <c r="AM50" t="s">
        <v>401</v>
      </c>
      <c r="AN50" t="s">
        <v>74</v>
      </c>
    </row>
    <row r="51" spans="1:40">
      <c r="A51" t="s">
        <v>402</v>
      </c>
      <c r="C51" s="3">
        <v>45678</v>
      </c>
      <c r="E51" t="s">
        <v>41</v>
      </c>
      <c r="H51" t="str">
        <f>VLOOKUP(Table1[[#This Row],[Official_Defect_Name]],Sheet2!$A:$F,2,FALSE)</f>
        <v>TKSAL-009</v>
      </c>
      <c r="I51" t="s">
        <v>109</v>
      </c>
      <c r="K51" t="s">
        <v>109</v>
      </c>
      <c r="L51" t="str">
        <f>VLOOKUP(Table1[[#This Row],[Official_Defect_Name]],Table3[#All],6,1)</f>
        <v>Severity</v>
      </c>
      <c r="M51" t="s">
        <v>43</v>
      </c>
      <c r="N51" t="s">
        <v>403</v>
      </c>
      <c r="R51" t="s">
        <v>404</v>
      </c>
      <c r="S51" t="s">
        <v>405</v>
      </c>
      <c r="T51" t="s">
        <v>406</v>
      </c>
      <c r="U51" s="5" t="s">
        <v>407</v>
      </c>
      <c r="V51" s="5" t="s">
        <v>408</v>
      </c>
      <c r="W51" s="5"/>
      <c r="X51" s="5"/>
      <c r="Y51" s="5"/>
      <c r="Z51" s="5"/>
      <c r="AA51" s="5"/>
      <c r="AB51" s="5"/>
      <c r="AC51" s="5"/>
      <c r="AD51" s="5"/>
      <c r="AE51" s="5"/>
      <c r="AF51" s="5"/>
      <c r="AG51" s="5"/>
      <c r="AH51" s="5"/>
      <c r="AI51" s="5"/>
      <c r="AJ51" s="5" t="s">
        <v>409</v>
      </c>
      <c r="AK51" s="5"/>
      <c r="AL51" s="5"/>
      <c r="AM51" t="s">
        <v>410</v>
      </c>
      <c r="AN51" t="s">
        <v>84</v>
      </c>
    </row>
    <row r="52" spans="1:40">
      <c r="A52" t="s">
        <v>411</v>
      </c>
      <c r="C52" s="3">
        <v>45681</v>
      </c>
      <c r="E52" t="s">
        <v>41</v>
      </c>
      <c r="H52" t="str">
        <f>VLOOKUP(Table1[[#This Row],[Official_Defect_Name]],Sheet2!$A:$F,2,FALSE)</f>
        <v>TKSAL-026</v>
      </c>
      <c r="I52" t="s">
        <v>374</v>
      </c>
      <c r="K52" t="s">
        <v>374</v>
      </c>
      <c r="L52" t="str">
        <f>VLOOKUP(Table1[[#This Row],[Official_Defect_Name]],Table3[#All],6,1)</f>
        <v>Low</v>
      </c>
      <c r="M52" t="s">
        <v>43</v>
      </c>
      <c r="N52" t="s">
        <v>49</v>
      </c>
      <c r="R52" t="s">
        <v>412</v>
      </c>
      <c r="S52" t="s">
        <v>413</v>
      </c>
      <c r="T52" t="s">
        <v>414</v>
      </c>
      <c r="U52" s="5" t="s">
        <v>415</v>
      </c>
      <c r="V52" s="5" t="s">
        <v>416</v>
      </c>
      <c r="W52" s="5"/>
      <c r="X52" s="5"/>
      <c r="Y52" s="5"/>
      <c r="Z52" s="5"/>
      <c r="AA52" s="5"/>
      <c r="AB52" s="5"/>
      <c r="AC52" s="5"/>
      <c r="AD52" s="5"/>
      <c r="AE52" s="5"/>
      <c r="AF52" s="5"/>
      <c r="AG52" s="5"/>
      <c r="AH52" s="5"/>
      <c r="AI52" s="5"/>
      <c r="AJ52" s="5" t="s">
        <v>417</v>
      </c>
      <c r="AK52" s="5"/>
      <c r="AL52" s="5"/>
      <c r="AM52" t="s">
        <v>418</v>
      </c>
      <c r="AN52" t="s">
        <v>74</v>
      </c>
    </row>
    <row r="53" spans="1:40">
      <c r="A53" t="s">
        <v>419</v>
      </c>
      <c r="C53" s="3">
        <v>45681</v>
      </c>
      <c r="E53" t="s">
        <v>41</v>
      </c>
      <c r="H53" t="str">
        <f>VLOOKUP(Table1[[#This Row],[Official_Defect_Name]],Sheet2!$A:$F,2,FALSE)</f>
        <v>TKSAL-017</v>
      </c>
      <c r="I53" t="s">
        <v>65</v>
      </c>
      <c r="K53" t="s">
        <v>65</v>
      </c>
      <c r="L53" t="str">
        <f>VLOOKUP(Table1[[#This Row],[Official_Defect_Name]],Table3[#All],6,1)</f>
        <v>Low</v>
      </c>
      <c r="M53" t="s">
        <v>43</v>
      </c>
      <c r="N53" t="s">
        <v>49</v>
      </c>
      <c r="R53" t="s">
        <v>182</v>
      </c>
      <c r="S53" t="s">
        <v>420</v>
      </c>
      <c r="T53" t="s">
        <v>421</v>
      </c>
      <c r="U53" s="5" t="s">
        <v>422</v>
      </c>
      <c r="V53" s="5" t="s">
        <v>423</v>
      </c>
      <c r="W53" s="5"/>
      <c r="X53" s="5"/>
      <c r="Y53" s="5"/>
      <c r="Z53" s="5"/>
      <c r="AA53" s="5"/>
      <c r="AB53" s="5"/>
      <c r="AC53" s="5"/>
      <c r="AD53" s="5"/>
      <c r="AE53" s="5"/>
      <c r="AF53" s="5"/>
      <c r="AG53" s="5"/>
      <c r="AH53" s="5"/>
      <c r="AI53" s="5"/>
      <c r="AJ53" s="5" t="s">
        <v>424</v>
      </c>
      <c r="AK53" s="5"/>
      <c r="AL53" s="5"/>
      <c r="AM53" t="s">
        <v>425</v>
      </c>
      <c r="AN53" t="s">
        <v>74</v>
      </c>
    </row>
    <row r="54" spans="1:40">
      <c r="A54" t="s">
        <v>426</v>
      </c>
      <c r="C54" s="3">
        <v>45685</v>
      </c>
      <c r="E54" t="s">
        <v>47</v>
      </c>
      <c r="H54" t="str">
        <f>VLOOKUP(Table1[[#This Row],[Official_Defect_Name]],Sheet2!$A:$F,2,FALSE)</f>
        <v>TKSAL-014</v>
      </c>
      <c r="I54" t="s">
        <v>427</v>
      </c>
      <c r="K54" t="s">
        <v>427</v>
      </c>
      <c r="L54" t="str">
        <f>VLOOKUP(Table1[[#This Row],[Official_Defect_Name]],Table3[#All],6,1)</f>
        <v>Low</v>
      </c>
      <c r="M54" t="s">
        <v>43</v>
      </c>
      <c r="N54" t="s">
        <v>244</v>
      </c>
      <c r="R54" t="s">
        <v>270</v>
      </c>
      <c r="S54" t="s">
        <v>428</v>
      </c>
      <c r="T54" t="s">
        <v>429</v>
      </c>
      <c r="U54" s="5" t="s">
        <v>430</v>
      </c>
      <c r="V54" s="5" t="s">
        <v>431</v>
      </c>
      <c r="W54" s="5"/>
      <c r="X54" s="5"/>
      <c r="Y54" s="5"/>
      <c r="Z54" s="5"/>
      <c r="AA54" s="5"/>
      <c r="AB54" s="5"/>
      <c r="AC54" s="5"/>
      <c r="AD54" s="5"/>
      <c r="AE54" s="5"/>
      <c r="AF54" s="5"/>
      <c r="AG54" s="5"/>
      <c r="AH54" s="5"/>
      <c r="AI54" s="5"/>
      <c r="AJ54" s="5" t="s">
        <v>432</v>
      </c>
      <c r="AK54" s="5"/>
      <c r="AL54" s="5"/>
      <c r="AM54" t="s">
        <v>433</v>
      </c>
      <c r="AN54" t="s">
        <v>84</v>
      </c>
    </row>
    <row r="55" spans="1:40">
      <c r="A55" t="s">
        <v>434</v>
      </c>
      <c r="C55" s="3">
        <v>45685</v>
      </c>
      <c r="E55" t="s">
        <v>47</v>
      </c>
      <c r="H55" t="str">
        <f>VLOOKUP(Table1[[#This Row],[Official_Defect_Name]],Sheet2!$A:$F,2,FALSE)</f>
        <v>TKSAL-006</v>
      </c>
      <c r="I55" t="s">
        <v>435</v>
      </c>
      <c r="K55" t="s">
        <v>435</v>
      </c>
      <c r="L55" t="e">
        <f>VLOOKUP(Table1[[#This Row],[Official_Defect_Name]],Table3[#All],6,1)</f>
        <v>#N/A</v>
      </c>
      <c r="M55" t="s">
        <v>43</v>
      </c>
      <c r="N55" t="s">
        <v>87</v>
      </c>
      <c r="R55" t="s">
        <v>436</v>
      </c>
      <c r="S55" t="s">
        <v>435</v>
      </c>
      <c r="T55" t="s">
        <v>437</v>
      </c>
      <c r="U55" s="5" t="s">
        <v>438</v>
      </c>
      <c r="V55" s="5" t="s">
        <v>439</v>
      </c>
      <c r="W55" s="5"/>
      <c r="X55" s="5"/>
      <c r="Y55" s="5"/>
      <c r="Z55" s="5"/>
      <c r="AA55" s="5"/>
      <c r="AB55" s="5"/>
      <c r="AC55" s="5"/>
      <c r="AD55" s="5"/>
      <c r="AE55" s="5"/>
      <c r="AF55" s="5"/>
      <c r="AG55" s="5"/>
      <c r="AH55" s="5"/>
      <c r="AI55" s="5"/>
      <c r="AJ55" s="5" t="s">
        <v>440</v>
      </c>
      <c r="AK55" s="5"/>
      <c r="AL55" s="5"/>
      <c r="AM55" t="s">
        <v>441</v>
      </c>
      <c r="AN55" t="s">
        <v>84</v>
      </c>
    </row>
    <row r="56" spans="1:40">
      <c r="A56" t="s">
        <v>442</v>
      </c>
      <c r="C56" s="3">
        <v>45685</v>
      </c>
      <c r="E56" t="s">
        <v>41</v>
      </c>
      <c r="H56" t="str">
        <f>VLOOKUP(Table1[[#This Row],[Official_Defect_Name]],Sheet2!$A:$F,2,FALSE)</f>
        <v>TKSAL-010</v>
      </c>
      <c r="I56" t="s">
        <v>48</v>
      </c>
      <c r="K56" t="s">
        <v>48</v>
      </c>
      <c r="L56" t="str">
        <f>VLOOKUP(Table1[[#This Row],[Official_Defect_Name]],Table3[#All],6,1)</f>
        <v>Critical</v>
      </c>
      <c r="M56" t="s">
        <v>43</v>
      </c>
      <c r="N56" t="s">
        <v>244</v>
      </c>
      <c r="R56" t="s">
        <v>270</v>
      </c>
      <c r="S56" t="s">
        <v>48</v>
      </c>
      <c r="T56" t="s">
        <v>443</v>
      </c>
      <c r="U56" s="5" t="s">
        <v>444</v>
      </c>
      <c r="V56" s="5" t="s">
        <v>445</v>
      </c>
      <c r="W56" s="5"/>
      <c r="X56" s="5"/>
      <c r="Y56" s="5"/>
      <c r="Z56" s="5"/>
      <c r="AA56" s="5"/>
      <c r="AB56" s="5"/>
      <c r="AC56" s="5"/>
      <c r="AD56" s="5"/>
      <c r="AE56" s="5"/>
      <c r="AF56" s="5"/>
      <c r="AG56" s="5"/>
      <c r="AH56" s="5"/>
      <c r="AI56" s="5"/>
      <c r="AJ56" s="5" t="s">
        <v>446</v>
      </c>
      <c r="AK56" s="5"/>
      <c r="AL56" s="5"/>
      <c r="AM56" t="s">
        <v>447</v>
      </c>
      <c r="AN56" t="s">
        <v>84</v>
      </c>
    </row>
    <row r="57" spans="1:40">
      <c r="A57" t="s">
        <v>448</v>
      </c>
      <c r="C57" s="3">
        <v>45687</v>
      </c>
      <c r="E57" t="s">
        <v>41</v>
      </c>
      <c r="H57" t="str">
        <f>VLOOKUP(Table1[[#This Row],[Official_Defect_Name]],Sheet2!$A:$F,2,FALSE)</f>
        <v>TKSAL-016</v>
      </c>
      <c r="I57" t="s">
        <v>449</v>
      </c>
      <c r="K57" t="s">
        <v>449</v>
      </c>
      <c r="L57" t="str">
        <f>VLOOKUP(Table1[[#This Row],[Official_Defect_Name]],Table3[#All],6,1)</f>
        <v>Low</v>
      </c>
      <c r="M57" t="s">
        <v>43</v>
      </c>
      <c r="N57" t="s">
        <v>234</v>
      </c>
      <c r="R57" t="s">
        <v>191</v>
      </c>
      <c r="S57" t="s">
        <v>450</v>
      </c>
      <c r="T57" t="s">
        <v>451</v>
      </c>
      <c r="U57" s="5" t="s">
        <v>452</v>
      </c>
      <c r="V57" s="5" t="s">
        <v>453</v>
      </c>
      <c r="W57" s="5"/>
      <c r="X57" s="5"/>
      <c r="Y57" s="5"/>
      <c r="Z57" s="5"/>
      <c r="AA57" s="5"/>
      <c r="AB57" s="5"/>
      <c r="AC57" s="5"/>
      <c r="AD57" s="5"/>
      <c r="AE57" s="5"/>
      <c r="AF57" s="5"/>
      <c r="AG57" s="5"/>
      <c r="AH57" s="5"/>
      <c r="AI57" s="5"/>
      <c r="AJ57" s="5" t="s">
        <v>454</v>
      </c>
      <c r="AK57" s="5"/>
      <c r="AL57" s="5"/>
      <c r="AM57" t="s">
        <v>455</v>
      </c>
      <c r="AN57" t="s">
        <v>84</v>
      </c>
    </row>
    <row r="58" spans="1:40">
      <c r="A58" t="s">
        <v>456</v>
      </c>
      <c r="C58" s="3">
        <v>45688</v>
      </c>
      <c r="E58" t="s">
        <v>457</v>
      </c>
      <c r="H58" t="str">
        <f>VLOOKUP(Table1[[#This Row],[Official_Defect_Name]],Sheet2!$A:$F,2,FALSE)</f>
        <v>TKSAL-018</v>
      </c>
      <c r="I58" t="s">
        <v>335</v>
      </c>
      <c r="K58" t="s">
        <v>335</v>
      </c>
      <c r="L58" t="str">
        <f>VLOOKUP(Table1[[#This Row],[Official_Defect_Name]],Table3[#All],6,1)</f>
        <v>Low</v>
      </c>
      <c r="M58" t="s">
        <v>43</v>
      </c>
      <c r="N58" t="s">
        <v>87</v>
      </c>
      <c r="R58" t="s">
        <v>458</v>
      </c>
      <c r="S58" t="s">
        <v>459</v>
      </c>
      <c r="T58" t="s">
        <v>460</v>
      </c>
      <c r="U58" s="5" t="s">
        <v>461</v>
      </c>
      <c r="V58" s="5" t="s">
        <v>462</v>
      </c>
      <c r="W58" s="5"/>
      <c r="X58" s="5"/>
      <c r="Y58" s="5"/>
      <c r="Z58" s="5"/>
      <c r="AA58" s="5"/>
      <c r="AB58" s="5"/>
      <c r="AC58" s="5"/>
      <c r="AD58" s="5"/>
      <c r="AE58" s="5"/>
      <c r="AF58" s="5"/>
      <c r="AG58" s="5"/>
      <c r="AH58" s="5"/>
      <c r="AI58" s="5"/>
      <c r="AJ58" s="5" t="s">
        <v>463</v>
      </c>
      <c r="AK58" s="5"/>
      <c r="AL58" s="5"/>
      <c r="AM58" t="s">
        <v>464</v>
      </c>
      <c r="AN58" t="s">
        <v>74</v>
      </c>
    </row>
    <row r="59" spans="1:40">
      <c r="A59" t="s">
        <v>465</v>
      </c>
      <c r="C59" s="3">
        <v>45688</v>
      </c>
      <c r="E59" t="s">
        <v>47</v>
      </c>
      <c r="H59" t="str">
        <f>VLOOKUP(Table1[[#This Row],[Official_Defect_Name]],Sheet2!$A:$F,2,FALSE)</f>
        <v>TKSAL-016</v>
      </c>
      <c r="I59" t="s">
        <v>449</v>
      </c>
      <c r="K59" t="s">
        <v>449</v>
      </c>
      <c r="L59" t="str">
        <f>VLOOKUP(Table1[[#This Row],[Official_Defect_Name]],Table3[#All],6,1)</f>
        <v>Low</v>
      </c>
      <c r="M59" t="s">
        <v>43</v>
      </c>
      <c r="N59" t="s">
        <v>234</v>
      </c>
      <c r="R59" t="s">
        <v>191</v>
      </c>
      <c r="S59" t="s">
        <v>466</v>
      </c>
      <c r="T59" t="s">
        <v>467</v>
      </c>
      <c r="U59" s="5" t="s">
        <v>468</v>
      </c>
      <c r="V59" s="5" t="s">
        <v>469</v>
      </c>
      <c r="W59" s="5"/>
      <c r="X59" s="5"/>
      <c r="Y59" s="5"/>
      <c r="Z59" s="5"/>
      <c r="AA59" s="5"/>
      <c r="AB59" s="5"/>
      <c r="AC59" s="5"/>
      <c r="AD59" s="5"/>
      <c r="AE59" s="5"/>
      <c r="AF59" s="5"/>
      <c r="AG59" s="5"/>
      <c r="AH59" s="5"/>
      <c r="AI59" s="5"/>
      <c r="AJ59" s="5" t="s">
        <v>470</v>
      </c>
      <c r="AK59" s="5"/>
      <c r="AL59" s="5"/>
      <c r="AM59" t="s">
        <v>471</v>
      </c>
      <c r="AN59" t="s">
        <v>84</v>
      </c>
    </row>
    <row r="60" spans="1:40">
      <c r="A60" t="s">
        <v>472</v>
      </c>
      <c r="C60" s="3">
        <v>45688</v>
      </c>
      <c r="E60" t="s">
        <v>41</v>
      </c>
      <c r="H60" t="str">
        <f>VLOOKUP(Table1[[#This Row],[Official_Defect_Name]],Sheet2!$A:$F,2,FALSE)</f>
        <v>TKSAL-016</v>
      </c>
      <c r="I60" t="s">
        <v>449</v>
      </c>
      <c r="K60" t="s">
        <v>449</v>
      </c>
      <c r="L60" t="str">
        <f>VLOOKUP(Table1[[#This Row],[Official_Defect_Name]],Table3[#All],6,1)</f>
        <v>Low</v>
      </c>
      <c r="M60" t="s">
        <v>43</v>
      </c>
      <c r="N60" t="s">
        <v>473</v>
      </c>
      <c r="R60" t="s">
        <v>191</v>
      </c>
      <c r="S60" t="s">
        <v>474</v>
      </c>
      <c r="T60" t="s">
        <v>475</v>
      </c>
      <c r="U60" s="5" t="s">
        <v>476</v>
      </c>
      <c r="V60" s="5" t="s">
        <v>477</v>
      </c>
      <c r="W60" s="5"/>
      <c r="X60" s="5"/>
      <c r="Y60" s="5"/>
      <c r="Z60" s="5"/>
      <c r="AA60" s="5"/>
      <c r="AB60" s="5"/>
      <c r="AC60" s="5"/>
      <c r="AD60" s="5"/>
      <c r="AE60" s="5"/>
      <c r="AF60" s="5"/>
      <c r="AG60" s="5"/>
      <c r="AH60" s="5"/>
      <c r="AI60" s="5"/>
      <c r="AJ60" s="5" t="s">
        <v>478</v>
      </c>
      <c r="AK60" s="5"/>
      <c r="AL60" s="5"/>
      <c r="AM60" t="s">
        <v>479</v>
      </c>
      <c r="AN60" t="s">
        <v>84</v>
      </c>
    </row>
    <row r="61" spans="1:40">
      <c r="A61" t="s">
        <v>480</v>
      </c>
      <c r="C61" s="3">
        <v>45691</v>
      </c>
      <c r="E61" t="s">
        <v>47</v>
      </c>
      <c r="H61" t="str">
        <f>VLOOKUP(Table1[[#This Row],[Official_Defect_Name]],Sheet2!$A:$F,2,FALSE)</f>
        <v>TKSAL-001</v>
      </c>
      <c r="I61" t="s">
        <v>190</v>
      </c>
      <c r="K61" t="s">
        <v>190</v>
      </c>
      <c r="L61" t="e">
        <f>VLOOKUP(Table1[[#This Row],[Official_Defect_Name]],Table3[#All],6,1)</f>
        <v>#N/A</v>
      </c>
      <c r="M61" t="s">
        <v>43</v>
      </c>
      <c r="N61" t="s">
        <v>87</v>
      </c>
      <c r="R61" t="s">
        <v>151</v>
      </c>
      <c r="S61" t="s">
        <v>481</v>
      </c>
      <c r="T61" t="s">
        <v>482</v>
      </c>
      <c r="U61" s="5" t="s">
        <v>483</v>
      </c>
      <c r="V61" s="5" t="s">
        <v>484</v>
      </c>
      <c r="W61" s="5"/>
      <c r="X61" s="5"/>
      <c r="Y61" s="5"/>
      <c r="Z61" s="5"/>
      <c r="AA61" s="5"/>
      <c r="AB61" s="5"/>
      <c r="AC61" s="5"/>
      <c r="AD61" s="5"/>
      <c r="AE61" s="5"/>
      <c r="AF61" s="5"/>
      <c r="AG61" s="5"/>
      <c r="AH61" s="5"/>
      <c r="AI61" s="5"/>
      <c r="AJ61" s="5" t="s">
        <v>485</v>
      </c>
      <c r="AK61" s="5"/>
      <c r="AL61" s="5"/>
      <c r="AM61" t="s">
        <v>486</v>
      </c>
      <c r="AN61" t="s">
        <v>84</v>
      </c>
    </row>
    <row r="62" spans="1:40">
      <c r="A62" t="s">
        <v>487</v>
      </c>
      <c r="C62" s="3">
        <v>45691</v>
      </c>
      <c r="E62" t="s">
        <v>278</v>
      </c>
      <c r="H62" t="str">
        <f>VLOOKUP(Table1[[#This Row],[Official_Defect_Name]],Sheet2!$A:$F,2,FALSE)</f>
        <v>TKSAL-018</v>
      </c>
      <c r="I62" t="s">
        <v>335</v>
      </c>
      <c r="K62" t="s">
        <v>335</v>
      </c>
      <c r="L62" t="str">
        <f>VLOOKUP(Table1[[#This Row],[Official_Defect_Name]],Table3[#All],6,1)</f>
        <v>Low</v>
      </c>
      <c r="M62" t="s">
        <v>43</v>
      </c>
      <c r="N62" t="s">
        <v>336</v>
      </c>
      <c r="R62" t="s">
        <v>488</v>
      </c>
      <c r="S62" t="s">
        <v>489</v>
      </c>
      <c r="T62" t="s">
        <v>490</v>
      </c>
      <c r="U62" s="5" t="s">
        <v>491</v>
      </c>
      <c r="V62" s="5" t="s">
        <v>492</v>
      </c>
      <c r="W62" s="5"/>
      <c r="X62" s="5"/>
      <c r="Y62" s="5"/>
      <c r="Z62" s="5"/>
      <c r="AA62" s="5"/>
      <c r="AB62" s="5"/>
      <c r="AC62" s="5"/>
      <c r="AD62" s="5"/>
      <c r="AE62" s="5"/>
      <c r="AF62" s="5"/>
      <c r="AG62" s="5"/>
      <c r="AH62" s="5"/>
      <c r="AI62" s="5"/>
      <c r="AJ62" s="5" t="s">
        <v>493</v>
      </c>
      <c r="AK62" s="5"/>
      <c r="AL62" s="5"/>
      <c r="AM62" t="s">
        <v>494</v>
      </c>
      <c r="AN62" t="s">
        <v>74</v>
      </c>
    </row>
    <row r="63" spans="1:40">
      <c r="A63" t="s">
        <v>495</v>
      </c>
      <c r="C63" s="3">
        <v>45692</v>
      </c>
      <c r="E63" t="s">
        <v>457</v>
      </c>
      <c r="H63" t="str">
        <f>VLOOKUP(Table1[[#This Row],[Official_Defect_Name]],Sheet2!$A:$F,2,FALSE)</f>
        <v>TKSAL-024</v>
      </c>
      <c r="I63" t="s">
        <v>496</v>
      </c>
      <c r="K63" t="s">
        <v>496</v>
      </c>
      <c r="L63" t="str">
        <f>VLOOKUP(Table1[[#This Row],[Official_Defect_Name]],Table3[#All],6,1)</f>
        <v>Low</v>
      </c>
      <c r="M63" t="s">
        <v>43</v>
      </c>
      <c r="N63" t="s">
        <v>87</v>
      </c>
      <c r="R63" t="s">
        <v>497</v>
      </c>
      <c r="S63" t="s">
        <v>498</v>
      </c>
      <c r="T63" t="s">
        <v>499</v>
      </c>
      <c r="U63" s="5" t="s">
        <v>500</v>
      </c>
      <c r="V63" s="5" t="s">
        <v>501</v>
      </c>
      <c r="W63" s="5"/>
      <c r="X63" s="5"/>
      <c r="Y63" s="5"/>
      <c r="Z63" s="5"/>
      <c r="AA63" s="5"/>
      <c r="AB63" s="5"/>
      <c r="AC63" s="5"/>
      <c r="AD63" s="5"/>
      <c r="AE63" s="5"/>
      <c r="AF63" s="5"/>
      <c r="AG63" s="5"/>
      <c r="AH63" s="5"/>
      <c r="AI63" s="5"/>
      <c r="AJ63" s="5" t="s">
        <v>502</v>
      </c>
      <c r="AK63" s="5"/>
      <c r="AL63" s="5"/>
      <c r="AM63" t="s">
        <v>503</v>
      </c>
      <c r="AN63" t="s">
        <v>84</v>
      </c>
    </row>
    <row r="64" spans="1:40">
      <c r="A64" t="s">
        <v>504</v>
      </c>
      <c r="C64" s="3">
        <v>45693</v>
      </c>
      <c r="E64" t="s">
        <v>41</v>
      </c>
      <c r="H64" t="str">
        <f>VLOOKUP(Table1[[#This Row],[Official_Defect_Name]],Sheet2!$A:$F,2,FALSE)</f>
        <v>TKSAL-016</v>
      </c>
      <c r="I64" t="s">
        <v>449</v>
      </c>
      <c r="K64" t="s">
        <v>449</v>
      </c>
      <c r="L64" t="str">
        <f>VLOOKUP(Table1[[#This Row],[Official_Defect_Name]],Table3[#All],6,1)</f>
        <v>Low</v>
      </c>
      <c r="M64" t="s">
        <v>43</v>
      </c>
      <c r="N64" t="s">
        <v>505</v>
      </c>
      <c r="R64" t="s">
        <v>191</v>
      </c>
      <c r="S64" t="s">
        <v>506</v>
      </c>
      <c r="T64" t="s">
        <v>507</v>
      </c>
      <c r="U64" s="5" t="s">
        <v>508</v>
      </c>
      <c r="V64" s="5" t="s">
        <v>509</v>
      </c>
      <c r="W64" s="5"/>
      <c r="X64" s="5"/>
      <c r="Y64" s="5"/>
      <c r="Z64" s="5"/>
      <c r="AA64" s="5"/>
      <c r="AB64" s="5"/>
      <c r="AC64" s="5"/>
      <c r="AD64" s="5"/>
      <c r="AE64" s="5"/>
      <c r="AF64" s="5"/>
      <c r="AG64" s="5"/>
      <c r="AH64" s="5"/>
      <c r="AI64" s="5"/>
      <c r="AJ64" s="5" t="s">
        <v>510</v>
      </c>
      <c r="AK64" s="5"/>
      <c r="AL64" s="5"/>
      <c r="AM64" t="s">
        <v>511</v>
      </c>
      <c r="AN64" t="s">
        <v>74</v>
      </c>
    </row>
    <row r="65" spans="1:40">
      <c r="A65" t="s">
        <v>512</v>
      </c>
      <c r="C65" s="3">
        <v>45694</v>
      </c>
      <c r="E65" t="s">
        <v>278</v>
      </c>
      <c r="H65" t="str">
        <f>VLOOKUP(Table1[[#This Row],[Official_Defect_Name]],Sheet2!$A:$F,2,FALSE)</f>
        <v>TKSAL-018</v>
      </c>
      <c r="I65" t="s">
        <v>335</v>
      </c>
      <c r="K65" t="s">
        <v>335</v>
      </c>
      <c r="L65" t="str">
        <f>VLOOKUP(Table1[[#This Row],[Official_Defect_Name]],Table3[#All],6,1)</f>
        <v>Low</v>
      </c>
      <c r="M65" t="s">
        <v>43</v>
      </c>
      <c r="N65" t="s">
        <v>87</v>
      </c>
      <c r="R65" t="s">
        <v>97</v>
      </c>
      <c r="S65" t="s">
        <v>513</v>
      </c>
      <c r="T65" t="s">
        <v>514</v>
      </c>
      <c r="U65" s="5"/>
      <c r="V65" s="5" t="s">
        <v>515</v>
      </c>
      <c r="W65" s="5"/>
      <c r="X65" s="5"/>
      <c r="Y65" s="5"/>
      <c r="Z65" s="5"/>
      <c r="AA65" s="5"/>
      <c r="AB65" s="5"/>
      <c r="AC65" s="5"/>
      <c r="AD65" s="5"/>
      <c r="AE65" s="5"/>
      <c r="AF65" s="5"/>
      <c r="AG65" s="5"/>
      <c r="AH65" s="5"/>
      <c r="AI65" s="5"/>
      <c r="AJ65" s="5" t="s">
        <v>516</v>
      </c>
      <c r="AK65" s="5"/>
      <c r="AL65" s="5"/>
      <c r="AM65" t="s">
        <v>517</v>
      </c>
      <c r="AN65" t="s">
        <v>84</v>
      </c>
    </row>
    <row r="66" spans="1:40">
      <c r="A66" t="s">
        <v>518</v>
      </c>
      <c r="C66" s="3">
        <v>45694</v>
      </c>
      <c r="E66" t="s">
        <v>278</v>
      </c>
      <c r="H66" t="str">
        <f>VLOOKUP(Table1[[#This Row],[Official_Defect_Name]],Sheet2!$A:$F,2,FALSE)</f>
        <v>TKSAL-019</v>
      </c>
      <c r="I66" t="s">
        <v>519</v>
      </c>
      <c r="K66" t="s">
        <v>519</v>
      </c>
      <c r="L66" t="str">
        <f>VLOOKUP(Table1[[#This Row],[Official_Defect_Name]],Table3[#All],6,1)</f>
        <v>Low</v>
      </c>
      <c r="M66" t="s">
        <v>43</v>
      </c>
      <c r="N66" t="s">
        <v>87</v>
      </c>
      <c r="R66" t="s">
        <v>97</v>
      </c>
      <c r="U66" s="5"/>
      <c r="V66" s="2" t="s">
        <v>520</v>
      </c>
      <c r="W66" s="2"/>
      <c r="X66" s="2"/>
      <c r="Y66" s="2"/>
      <c r="Z66" s="2"/>
      <c r="AA66" s="2"/>
      <c r="AB66" s="2"/>
      <c r="AC66" s="2"/>
      <c r="AD66" s="2"/>
      <c r="AE66" s="2"/>
      <c r="AF66" s="2"/>
      <c r="AG66" s="2"/>
      <c r="AH66" s="2"/>
      <c r="AI66" s="2"/>
      <c r="AJ66" s="5"/>
      <c r="AK66" s="2"/>
      <c r="AL66" s="2"/>
    </row>
    <row r="67" spans="1:40">
      <c r="A67" t="s">
        <v>521</v>
      </c>
      <c r="C67" s="3">
        <v>45695</v>
      </c>
      <c r="E67" t="s">
        <v>278</v>
      </c>
      <c r="H67" t="str">
        <f>VLOOKUP(Table1[[#This Row],[Official_Defect_Name]],Sheet2!$A:$F,2,FALSE)</f>
        <v>TKSAL-022</v>
      </c>
      <c r="I67" t="s">
        <v>243</v>
      </c>
      <c r="K67" t="s">
        <v>243</v>
      </c>
      <c r="L67" t="str">
        <f>VLOOKUP(Table1[[#This Row],[Official_Defect_Name]],Table3[#All],6,1)</f>
        <v>Low</v>
      </c>
      <c r="M67" t="s">
        <v>43</v>
      </c>
      <c r="N67" t="s">
        <v>522</v>
      </c>
      <c r="R67" t="s">
        <v>523</v>
      </c>
      <c r="S67" t="s">
        <v>524</v>
      </c>
      <c r="T67" t="s">
        <v>525</v>
      </c>
      <c r="U67" s="5"/>
      <c r="V67" s="5" t="s">
        <v>526</v>
      </c>
      <c r="W67" s="5"/>
      <c r="X67" s="5"/>
      <c r="Y67" s="5"/>
      <c r="Z67" s="5"/>
      <c r="AA67" s="5"/>
      <c r="AB67" s="5"/>
      <c r="AC67" s="5"/>
      <c r="AD67" s="5"/>
      <c r="AE67" s="5"/>
      <c r="AF67" s="5"/>
      <c r="AG67" s="5"/>
      <c r="AH67" s="5"/>
      <c r="AI67" s="5"/>
      <c r="AJ67" s="5" t="s">
        <v>527</v>
      </c>
      <c r="AK67" s="5"/>
      <c r="AL67" s="5"/>
      <c r="AM67" t="s">
        <v>528</v>
      </c>
      <c r="AN67" t="s">
        <v>74</v>
      </c>
    </row>
    <row r="68" spans="1:40">
      <c r="A68" t="s">
        <v>529</v>
      </c>
      <c r="C68" s="3">
        <v>45695</v>
      </c>
      <c r="E68" t="s">
        <v>41</v>
      </c>
      <c r="H68" t="str">
        <f>VLOOKUP(Table1[[#This Row],[Official_Defect_Name]],Sheet2!$A:$F,2,FALSE)</f>
        <v>TKSAL-025</v>
      </c>
      <c r="I68" t="s">
        <v>125</v>
      </c>
      <c r="K68" t="s">
        <v>125</v>
      </c>
      <c r="L68" t="str">
        <f>VLOOKUP(Table1[[#This Row],[Official_Defect_Name]],Table3[#All],6,1)</f>
        <v>Low</v>
      </c>
      <c r="M68" t="s">
        <v>43</v>
      </c>
      <c r="N68" t="s">
        <v>530</v>
      </c>
      <c r="R68" t="s">
        <v>301</v>
      </c>
      <c r="S68" t="s">
        <v>531</v>
      </c>
      <c r="T68" t="s">
        <v>532</v>
      </c>
      <c r="U68" s="5"/>
      <c r="V68" s="5" t="s">
        <v>533</v>
      </c>
      <c r="W68" s="5"/>
      <c r="X68" s="5"/>
      <c r="Y68" s="5"/>
      <c r="Z68" s="5"/>
      <c r="AA68" s="5"/>
      <c r="AB68" s="5"/>
      <c r="AC68" s="5"/>
      <c r="AD68" s="5"/>
      <c r="AE68" s="5"/>
      <c r="AF68" s="5"/>
      <c r="AG68" s="5"/>
      <c r="AH68" s="5"/>
      <c r="AI68" s="5"/>
      <c r="AJ68" s="5" t="s">
        <v>516</v>
      </c>
      <c r="AK68" s="5"/>
      <c r="AL68" s="5"/>
      <c r="AM68" t="s">
        <v>534</v>
      </c>
      <c r="AN68" t="s">
        <v>84</v>
      </c>
    </row>
    <row r="69" spans="1:40">
      <c r="A69" t="s">
        <v>535</v>
      </c>
      <c r="C69" s="3">
        <v>45698</v>
      </c>
      <c r="E69" t="s">
        <v>47</v>
      </c>
      <c r="H69" t="str">
        <f>VLOOKUP(Table1[[#This Row],[Official_Defect_Name]],Sheet2!$A:$F,2,FALSE)</f>
        <v>TKSAL-003</v>
      </c>
      <c r="I69" t="s">
        <v>141</v>
      </c>
      <c r="K69" t="s">
        <v>141</v>
      </c>
      <c r="L69" t="e">
        <f>VLOOKUP(Table1[[#This Row],[Official_Defect_Name]],Table3[#All],6,1)</f>
        <v>#N/A</v>
      </c>
      <c r="M69" t="s">
        <v>43</v>
      </c>
      <c r="N69" t="s">
        <v>87</v>
      </c>
      <c r="R69" t="s">
        <v>536</v>
      </c>
      <c r="S69" t="s">
        <v>537</v>
      </c>
      <c r="T69" t="s">
        <v>538</v>
      </c>
      <c r="U69" s="5"/>
      <c r="V69" s="5" t="s">
        <v>539</v>
      </c>
      <c r="W69" s="5"/>
      <c r="X69" s="5"/>
      <c r="Y69" s="5"/>
      <c r="Z69" s="5"/>
      <c r="AA69" s="5"/>
      <c r="AB69" s="5"/>
      <c r="AC69" s="5"/>
      <c r="AD69" s="5"/>
      <c r="AE69" s="5"/>
      <c r="AF69" s="5"/>
      <c r="AG69" s="5"/>
      <c r="AH69" s="5"/>
      <c r="AI69" s="5"/>
      <c r="AJ69" s="5" t="s">
        <v>540</v>
      </c>
      <c r="AK69" s="5"/>
      <c r="AL69" s="5"/>
      <c r="AM69" t="s">
        <v>541</v>
      </c>
      <c r="AN69" t="s">
        <v>84</v>
      </c>
    </row>
    <row r="70" spans="1:40">
      <c r="A70" t="s">
        <v>542</v>
      </c>
      <c r="C70" s="3">
        <v>45698</v>
      </c>
      <c r="E70" t="s">
        <v>47</v>
      </c>
      <c r="H70" t="str">
        <f>VLOOKUP(Table1[[#This Row],[Official_Defect_Name]],Sheet2!$A:$F,2,FALSE)</f>
        <v>TKSAL-009</v>
      </c>
      <c r="I70" t="s">
        <v>109</v>
      </c>
      <c r="K70" t="s">
        <v>109</v>
      </c>
      <c r="L70" t="str">
        <f>VLOOKUP(Table1[[#This Row],[Official_Defect_Name]],Table3[#All],6,1)</f>
        <v>Severity</v>
      </c>
      <c r="M70" t="s">
        <v>43</v>
      </c>
      <c r="N70" t="s">
        <v>522</v>
      </c>
      <c r="R70" t="s">
        <v>182</v>
      </c>
      <c r="S70" t="s">
        <v>543</v>
      </c>
      <c r="T70" t="s">
        <v>544</v>
      </c>
      <c r="U70" s="5"/>
      <c r="V70" s="5" t="s">
        <v>545</v>
      </c>
      <c r="W70" s="5"/>
      <c r="X70" s="5"/>
      <c r="Y70" s="5"/>
      <c r="Z70" s="5"/>
      <c r="AA70" s="5"/>
      <c r="AB70" s="5"/>
      <c r="AC70" s="5"/>
      <c r="AD70" s="5"/>
      <c r="AE70" s="5"/>
      <c r="AF70" s="5"/>
      <c r="AG70" s="5"/>
      <c r="AH70" s="5"/>
      <c r="AI70" s="5"/>
      <c r="AJ70" s="5" t="s">
        <v>546</v>
      </c>
      <c r="AK70" s="5"/>
      <c r="AL70" s="5"/>
      <c r="AM70" t="s">
        <v>547</v>
      </c>
      <c r="AN70" t="s">
        <v>84</v>
      </c>
    </row>
    <row r="71" spans="1:40">
      <c r="A71" t="s">
        <v>548</v>
      </c>
      <c r="B71" t="s">
        <v>549</v>
      </c>
      <c r="C71" s="3">
        <v>45699</v>
      </c>
      <c r="D71" s="3">
        <v>45699</v>
      </c>
      <c r="E71" t="s">
        <v>457</v>
      </c>
      <c r="H71" t="str">
        <f>VLOOKUP(Table1[[#This Row],[Official_Defect_Name]],Sheet2!$A:$F,2,FALSE)</f>
        <v>TKSAL-022</v>
      </c>
      <c r="I71" t="s">
        <v>243</v>
      </c>
      <c r="K71" t="s">
        <v>243</v>
      </c>
      <c r="L71" t="str">
        <f>VLOOKUP(Table1[[#This Row],[Official_Defect_Name]],Table3[#All],6,1)</f>
        <v>Low</v>
      </c>
      <c r="M71" t="s">
        <v>43</v>
      </c>
      <c r="N71" t="s">
        <v>550</v>
      </c>
      <c r="O71" t="s">
        <v>551</v>
      </c>
      <c r="R71" t="s">
        <v>523</v>
      </c>
      <c r="S71" t="s">
        <v>552</v>
      </c>
      <c r="U71" s="5"/>
      <c r="V71" s="5" t="s">
        <v>553</v>
      </c>
      <c r="W71" s="5"/>
      <c r="X71" s="5"/>
      <c r="Y71" s="5"/>
      <c r="Z71" s="5"/>
      <c r="AA71" s="5"/>
      <c r="AB71" s="5"/>
      <c r="AC71" s="5"/>
      <c r="AD71" s="5"/>
      <c r="AE71" s="5"/>
      <c r="AF71" s="5"/>
      <c r="AG71" s="5"/>
      <c r="AH71" s="5"/>
      <c r="AI71" s="5"/>
      <c r="AJ71" s="5" t="s">
        <v>275</v>
      </c>
      <c r="AK71" s="5"/>
      <c r="AL71" s="5"/>
      <c r="AM71" t="s">
        <v>554</v>
      </c>
      <c r="AN71" t="s">
        <v>84</v>
      </c>
    </row>
    <row r="72" spans="1:40">
      <c r="A72" t="s">
        <v>555</v>
      </c>
      <c r="C72" s="3">
        <v>45699</v>
      </c>
      <c r="E72" t="s">
        <v>47</v>
      </c>
      <c r="H72" t="str">
        <f>VLOOKUP(Table1[[#This Row],[Official_Defect_Name]],Sheet2!$A:$F,2,FALSE)</f>
        <v>TKSAL-022</v>
      </c>
      <c r="I72" t="s">
        <v>243</v>
      </c>
      <c r="K72" t="s">
        <v>243</v>
      </c>
      <c r="L72" t="str">
        <f>VLOOKUP(Table1[[#This Row],[Official_Defect_Name]],Table3[#All],6,1)</f>
        <v>Low</v>
      </c>
      <c r="M72" t="s">
        <v>43</v>
      </c>
      <c r="N72" t="s">
        <v>522</v>
      </c>
      <c r="R72" t="s">
        <v>556</v>
      </c>
      <c r="S72" t="s">
        <v>557</v>
      </c>
      <c r="T72" t="s">
        <v>558</v>
      </c>
      <c r="U72" s="5"/>
      <c r="V72" s="5" t="s">
        <v>559</v>
      </c>
      <c r="W72" s="5"/>
      <c r="X72" s="5"/>
      <c r="Y72" s="5"/>
      <c r="Z72" s="5"/>
      <c r="AA72" s="5"/>
      <c r="AB72" s="5"/>
      <c r="AC72" s="5"/>
      <c r="AD72" s="5"/>
      <c r="AE72" s="5"/>
      <c r="AF72" s="5"/>
      <c r="AG72" s="5"/>
      <c r="AH72" s="5"/>
      <c r="AI72" s="5"/>
      <c r="AJ72" s="5" t="s">
        <v>560</v>
      </c>
      <c r="AK72" s="5"/>
      <c r="AL72" s="5"/>
      <c r="AM72" t="s">
        <v>561</v>
      </c>
      <c r="AN72" t="s">
        <v>74</v>
      </c>
    </row>
    <row r="73" spans="1:40">
      <c r="A73" t="s">
        <v>562</v>
      </c>
      <c r="C73" s="3">
        <v>45699</v>
      </c>
      <c r="E73" t="s">
        <v>47</v>
      </c>
      <c r="H73" t="str">
        <f>VLOOKUP(Table1[[#This Row],[Official_Defect_Name]],Sheet2!$A:$F,2,FALSE)</f>
        <v>TKSAL-005</v>
      </c>
      <c r="I73" t="s">
        <v>159</v>
      </c>
      <c r="K73" t="s">
        <v>159</v>
      </c>
      <c r="L73" t="e">
        <f>VLOOKUP(Table1[[#This Row],[Official_Defect_Name]],Table3[#All],6,1)</f>
        <v>#N/A</v>
      </c>
      <c r="M73" t="s">
        <v>43</v>
      </c>
      <c r="N73" t="s">
        <v>505</v>
      </c>
      <c r="R73" t="s">
        <v>563</v>
      </c>
      <c r="S73" t="s">
        <v>564</v>
      </c>
      <c r="T73" t="s">
        <v>565</v>
      </c>
      <c r="U73" s="4"/>
      <c r="V73" s="5" t="s">
        <v>566</v>
      </c>
      <c r="W73" s="5"/>
      <c r="X73" s="5"/>
      <c r="Y73" s="5"/>
      <c r="Z73" s="5"/>
      <c r="AA73" s="5"/>
      <c r="AB73" s="5"/>
      <c r="AC73" s="5"/>
      <c r="AD73" s="5"/>
      <c r="AE73" s="5"/>
      <c r="AF73" s="5"/>
      <c r="AG73" s="5"/>
      <c r="AH73" s="5"/>
      <c r="AI73" s="5"/>
      <c r="AJ73" s="5" t="s">
        <v>567</v>
      </c>
      <c r="AK73" s="5"/>
      <c r="AL73" s="5"/>
      <c r="AM73" t="s">
        <v>568</v>
      </c>
      <c r="AN73" t="s">
        <v>74</v>
      </c>
    </row>
    <row r="74" spans="1:40">
      <c r="A74" t="s">
        <v>569</v>
      </c>
      <c r="B74" t="s">
        <v>570</v>
      </c>
      <c r="C74" s="3">
        <v>45699</v>
      </c>
      <c r="D74" s="3">
        <v>45699</v>
      </c>
      <c r="E74" t="s">
        <v>47</v>
      </c>
      <c r="H74" t="str">
        <f>VLOOKUP(Table1[[#This Row],[Official_Defect_Name]],Sheet2!$A:$F,2,FALSE)</f>
        <v>TKSAL-010</v>
      </c>
      <c r="I74" t="s">
        <v>48</v>
      </c>
      <c r="K74" t="s">
        <v>48</v>
      </c>
      <c r="L74" t="str">
        <f>VLOOKUP(Table1[[#This Row],[Official_Defect_Name]],Table3[#All],6,1)</f>
        <v>Critical</v>
      </c>
      <c r="M74" t="s">
        <v>43</v>
      </c>
      <c r="N74" t="s">
        <v>550</v>
      </c>
      <c r="O74" t="s">
        <v>571</v>
      </c>
      <c r="R74" t="s">
        <v>55</v>
      </c>
      <c r="S74" t="s">
        <v>572</v>
      </c>
      <c r="T74" t="s">
        <v>573</v>
      </c>
      <c r="U74" s="5"/>
      <c r="V74" s="5" t="s">
        <v>574</v>
      </c>
      <c r="W74" s="5"/>
      <c r="X74" s="5"/>
      <c r="Y74" s="5"/>
      <c r="Z74" s="5"/>
      <c r="AA74" s="5"/>
      <c r="AB74" s="5"/>
      <c r="AC74" s="5"/>
      <c r="AD74" s="5"/>
      <c r="AE74" s="5"/>
      <c r="AF74" s="5"/>
      <c r="AG74" s="5"/>
      <c r="AH74" s="5"/>
      <c r="AI74" s="5"/>
      <c r="AJ74" s="5" t="s">
        <v>575</v>
      </c>
      <c r="AK74" s="5"/>
      <c r="AL74" s="5"/>
      <c r="AM74" t="s">
        <v>576</v>
      </c>
      <c r="AN74" t="s">
        <v>74</v>
      </c>
    </row>
    <row r="75" spans="1:40" ht="72.75">
      <c r="A75" t="s">
        <v>577</v>
      </c>
      <c r="B75" t="s">
        <v>578</v>
      </c>
      <c r="C75" s="3">
        <v>45699</v>
      </c>
      <c r="D75" s="3">
        <v>45705</v>
      </c>
      <c r="E75" t="s">
        <v>47</v>
      </c>
      <c r="H75" t="str">
        <f>VLOOKUP(Table1[[#This Row],[Official_Defect_Name]],Sheet2!$A:$F,2,FALSE)</f>
        <v>TKSAL-006</v>
      </c>
      <c r="I75" t="s">
        <v>435</v>
      </c>
      <c r="K75" t="s">
        <v>579</v>
      </c>
      <c r="L75" t="e">
        <f>VLOOKUP(Table1[[#This Row],[Official_Defect_Name]],Table3[#All],6,1)</f>
        <v>#N/A</v>
      </c>
      <c r="M75" t="s">
        <v>43</v>
      </c>
      <c r="N75">
        <v>0</v>
      </c>
      <c r="O75" t="s">
        <v>580</v>
      </c>
      <c r="S75" t="s">
        <v>580</v>
      </c>
      <c r="T75" t="s">
        <v>581</v>
      </c>
      <c r="U75" s="5"/>
      <c r="V75" s="5" t="s">
        <v>582</v>
      </c>
      <c r="W75" s="5"/>
      <c r="X75" s="5"/>
      <c r="Y75" s="5"/>
      <c r="Z75" s="5"/>
      <c r="AA75" s="5"/>
      <c r="AB75" s="5"/>
      <c r="AC75" s="5" t="s">
        <v>583</v>
      </c>
      <c r="AD75" s="5"/>
      <c r="AE75" s="5"/>
      <c r="AF75" s="5"/>
      <c r="AG75" s="5"/>
      <c r="AH75" s="5"/>
      <c r="AI75" s="10" t="s">
        <v>584</v>
      </c>
      <c r="AJ75" s="5" t="s">
        <v>580</v>
      </c>
      <c r="AK75" s="5"/>
      <c r="AL75" s="5"/>
      <c r="AM75" t="s">
        <v>580</v>
      </c>
      <c r="AN75" t="s">
        <v>585</v>
      </c>
    </row>
    <row r="76" spans="1:40">
      <c r="A76" t="s">
        <v>586</v>
      </c>
      <c r="B76" t="s">
        <v>587</v>
      </c>
      <c r="C76" s="3">
        <v>45705</v>
      </c>
      <c r="D76" s="3">
        <v>45705</v>
      </c>
      <c r="E76" t="s">
        <v>41</v>
      </c>
      <c r="H76" t="str">
        <f>VLOOKUP(Table1[[#This Row],[Official_Defect_Name]],Sheet2!$A:$F,2,FALSE)</f>
        <v>TKSAL-029</v>
      </c>
      <c r="I76" t="s">
        <v>588</v>
      </c>
      <c r="K76" t="s">
        <v>589</v>
      </c>
      <c r="L76" t="e">
        <f>VLOOKUP(Table1[[#This Row],[Official_Defect_Name]],Table3[#All],6,1)</f>
        <v>#N/A</v>
      </c>
      <c r="M76" t="s">
        <v>43</v>
      </c>
      <c r="N76" t="s">
        <v>590</v>
      </c>
      <c r="O76" t="s">
        <v>591</v>
      </c>
      <c r="R76" t="s">
        <v>320</v>
      </c>
      <c r="S76" t="s">
        <v>592</v>
      </c>
      <c r="T76" t="s">
        <v>593</v>
      </c>
      <c r="U76" s="5"/>
      <c r="V76" s="5" t="s">
        <v>594</v>
      </c>
      <c r="W76" s="5"/>
      <c r="X76" s="5"/>
      <c r="Y76" s="5"/>
      <c r="Z76" s="5"/>
      <c r="AA76" s="5"/>
      <c r="AB76" s="5"/>
      <c r="AC76" s="5"/>
      <c r="AD76" s="5"/>
      <c r="AE76" s="5"/>
      <c r="AF76" s="5"/>
      <c r="AG76" s="5"/>
      <c r="AH76" s="5"/>
      <c r="AI76" s="10"/>
      <c r="AJ76" s="5" t="s">
        <v>595</v>
      </c>
      <c r="AK76" s="5"/>
      <c r="AL76" s="5"/>
      <c r="AM76" t="s">
        <v>596</v>
      </c>
      <c r="AN76" t="s">
        <v>84</v>
      </c>
    </row>
    <row r="77" spans="1:40" ht="72.75">
      <c r="A77" t="s">
        <v>597</v>
      </c>
      <c r="B77" t="s">
        <v>598</v>
      </c>
      <c r="C77" s="3">
        <v>45705</v>
      </c>
      <c r="D77" s="3">
        <v>45707</v>
      </c>
      <c r="E77" t="s">
        <v>41</v>
      </c>
      <c r="H77" t="str">
        <f>VLOOKUP(Table1[[#This Row],[Official_Defect_Name]],Sheet2!$A:$F,2,FALSE)</f>
        <v>TKSAL-008</v>
      </c>
      <c r="I77" t="s">
        <v>54</v>
      </c>
      <c r="K77" t="s">
        <v>54</v>
      </c>
      <c r="L77" t="str">
        <f>VLOOKUP(Table1[[#This Row],[Official_Defect_Name]],Table3[#All],6,1)</f>
        <v>Severity</v>
      </c>
      <c r="M77" t="s">
        <v>43</v>
      </c>
      <c r="N77" t="s">
        <v>599</v>
      </c>
      <c r="O77" t="s">
        <v>551</v>
      </c>
      <c r="R77" t="s">
        <v>182</v>
      </c>
      <c r="S77" t="s">
        <v>600</v>
      </c>
      <c r="T77" t="s">
        <v>601</v>
      </c>
      <c r="U77" s="5"/>
      <c r="V77" s="5" t="s">
        <v>602</v>
      </c>
      <c r="W77" s="5"/>
      <c r="X77" s="5"/>
      <c r="Y77" s="5"/>
      <c r="Z77" s="5"/>
      <c r="AA77" s="5"/>
      <c r="AB77" s="5"/>
      <c r="AC77" s="10" t="s">
        <v>603</v>
      </c>
      <c r="AD77" s="5"/>
      <c r="AE77" s="5"/>
      <c r="AF77" s="5"/>
      <c r="AG77" s="5"/>
      <c r="AH77" s="5"/>
      <c r="AI77" s="10" t="s">
        <v>604</v>
      </c>
      <c r="AJ77" s="5" t="s">
        <v>605</v>
      </c>
      <c r="AK77" s="5"/>
      <c r="AL77" s="5"/>
      <c r="AM77" t="s">
        <v>606</v>
      </c>
      <c r="AN77" t="s">
        <v>84</v>
      </c>
    </row>
    <row r="78" spans="1:40" ht="87">
      <c r="A78" t="s">
        <v>607</v>
      </c>
      <c r="B78" t="s">
        <v>608</v>
      </c>
      <c r="C78" s="3">
        <v>45706</v>
      </c>
      <c r="D78" s="3">
        <v>45706</v>
      </c>
      <c r="E78" t="s">
        <v>41</v>
      </c>
      <c r="H78" t="str">
        <f>VLOOKUP(Table1[[#This Row],[Official_Defect_Name]],Sheet2!$A:$F,2,FALSE)</f>
        <v>TKSAL-002</v>
      </c>
      <c r="I78" t="s">
        <v>252</v>
      </c>
      <c r="K78" t="s">
        <v>86</v>
      </c>
      <c r="L78" t="e">
        <f>VLOOKUP(Table1[[#This Row],[Official_Defect_Name]],Table3[#All],6,1)</f>
        <v>#N/A</v>
      </c>
      <c r="M78" t="s">
        <v>43</v>
      </c>
      <c r="N78" t="s">
        <v>609</v>
      </c>
      <c r="O78" t="s">
        <v>610</v>
      </c>
      <c r="R78" t="s">
        <v>611</v>
      </c>
      <c r="S78" t="s">
        <v>612</v>
      </c>
      <c r="T78" t="s">
        <v>613</v>
      </c>
      <c r="U78" s="5"/>
      <c r="V78" s="5" t="s">
        <v>614</v>
      </c>
      <c r="W78" s="5"/>
      <c r="X78" s="5"/>
      <c r="Y78" s="5"/>
      <c r="Z78" s="5"/>
      <c r="AA78" s="5"/>
      <c r="AB78" s="5"/>
      <c r="AC78" s="10" t="s">
        <v>603</v>
      </c>
      <c r="AD78" s="10"/>
      <c r="AE78" s="10"/>
      <c r="AF78" s="10"/>
      <c r="AG78" s="10"/>
      <c r="AH78" s="10"/>
      <c r="AI78" s="10" t="s">
        <v>615</v>
      </c>
      <c r="AJ78" s="5" t="s">
        <v>616</v>
      </c>
      <c r="AK78" s="5"/>
      <c r="AL78" s="5"/>
      <c r="AM78" t="s">
        <v>617</v>
      </c>
      <c r="AN78" t="s">
        <v>74</v>
      </c>
    </row>
    <row r="79" spans="1:40" ht="72.75">
      <c r="A79" t="s">
        <v>618</v>
      </c>
      <c r="B79" t="s">
        <v>619</v>
      </c>
      <c r="C79" s="3">
        <v>45706</v>
      </c>
      <c r="D79" s="3">
        <v>45706</v>
      </c>
      <c r="E79" t="s">
        <v>278</v>
      </c>
      <c r="H79" t="str">
        <f>VLOOKUP(Table1[[#This Row],[Official_Defect_Name]],Sheet2!$A:$F,2,FALSE)</f>
        <v>TKSAL-002</v>
      </c>
      <c r="I79" t="s">
        <v>252</v>
      </c>
      <c r="K79" t="s">
        <v>252</v>
      </c>
      <c r="L79" t="e">
        <f>VLOOKUP(Table1[[#This Row],[Official_Defect_Name]],Table3[#All],6,1)</f>
        <v>#N/A</v>
      </c>
      <c r="M79" t="s">
        <v>43</v>
      </c>
      <c r="N79" t="s">
        <v>609</v>
      </c>
      <c r="O79" t="s">
        <v>620</v>
      </c>
      <c r="R79" t="s">
        <v>621</v>
      </c>
      <c r="S79" t="s">
        <v>622</v>
      </c>
      <c r="T79" t="s">
        <v>623</v>
      </c>
      <c r="U79" s="5"/>
      <c r="V79" s="5" t="s">
        <v>624</v>
      </c>
      <c r="W79" s="5"/>
      <c r="X79" s="5"/>
      <c r="Y79" s="5"/>
      <c r="Z79" s="5"/>
      <c r="AA79" s="5"/>
      <c r="AB79" s="5"/>
      <c r="AC79" s="10" t="s">
        <v>603</v>
      </c>
      <c r="AD79" s="10" t="s">
        <v>625</v>
      </c>
      <c r="AE79" s="10" t="s">
        <v>626</v>
      </c>
      <c r="AF79" s="10" t="s">
        <v>367</v>
      </c>
      <c r="AG79" s="10"/>
      <c r="AH79" s="10"/>
      <c r="AI79" s="10" t="s">
        <v>627</v>
      </c>
      <c r="AJ79" s="5" t="s">
        <v>628</v>
      </c>
      <c r="AK79" s="5"/>
      <c r="AL79" s="5"/>
      <c r="AM79" t="s">
        <v>629</v>
      </c>
      <c r="AN79" t="s">
        <v>74</v>
      </c>
    </row>
    <row r="80" spans="1:40" ht="72.75">
      <c r="A80" t="s">
        <v>630</v>
      </c>
      <c r="B80" t="s">
        <v>631</v>
      </c>
      <c r="C80" s="3">
        <v>45706</v>
      </c>
      <c r="D80" s="3">
        <v>45706</v>
      </c>
      <c r="E80" t="s">
        <v>47</v>
      </c>
      <c r="H80" t="str">
        <f>VLOOKUP(Table1[[#This Row],[Official_Defect_Name]],Sheet2!$A:$F,2,FALSE)</f>
        <v>TKSAL-016</v>
      </c>
      <c r="I80" t="s">
        <v>449</v>
      </c>
      <c r="K80" t="s">
        <v>449</v>
      </c>
      <c r="L80" t="str">
        <f>VLOOKUP(Table1[[#This Row],[Official_Defect_Name]],Table3[#All],6,1)</f>
        <v>Low</v>
      </c>
      <c r="M80" t="s">
        <v>43</v>
      </c>
      <c r="N80" t="s">
        <v>632</v>
      </c>
      <c r="O80" t="s">
        <v>633</v>
      </c>
      <c r="R80" t="s">
        <v>191</v>
      </c>
      <c r="S80" t="s">
        <v>506</v>
      </c>
      <c r="T80" t="s">
        <v>634</v>
      </c>
      <c r="U80" s="5"/>
      <c r="V80" s="5" t="s">
        <v>635</v>
      </c>
      <c r="W80" s="5"/>
      <c r="X80" s="5"/>
      <c r="Y80" s="5"/>
      <c r="Z80" s="5"/>
      <c r="AA80" s="5"/>
      <c r="AB80" s="5"/>
      <c r="AC80" s="10" t="s">
        <v>603</v>
      </c>
      <c r="AD80" s="10" t="s">
        <v>636</v>
      </c>
      <c r="AE80" s="10" t="s">
        <v>637</v>
      </c>
      <c r="AF80" s="10" t="s">
        <v>638</v>
      </c>
      <c r="AG80" s="10"/>
      <c r="AH80" s="10"/>
      <c r="AI80" s="10" t="s">
        <v>639</v>
      </c>
      <c r="AJ80" s="5" t="s">
        <v>640</v>
      </c>
      <c r="AK80" s="5"/>
      <c r="AL80" s="5"/>
      <c r="AM80" t="s">
        <v>641</v>
      </c>
      <c r="AN80" t="s">
        <v>74</v>
      </c>
    </row>
    <row r="81" spans="1:40" ht="31.5" customHeight="1">
      <c r="A81" t="s">
        <v>642</v>
      </c>
      <c r="B81" t="s">
        <v>643</v>
      </c>
      <c r="C81" s="3">
        <v>45706</v>
      </c>
      <c r="D81" s="3">
        <v>45708</v>
      </c>
      <c r="E81" t="s">
        <v>47</v>
      </c>
      <c r="H81" t="str">
        <f>VLOOKUP(Table1[[#This Row],[Official_Defect_Name]],Sheet2!$A:$F,2,FALSE)</f>
        <v>TKSAL-002</v>
      </c>
      <c r="I81" t="s">
        <v>252</v>
      </c>
      <c r="K81" t="s">
        <v>252</v>
      </c>
      <c r="L81" t="e">
        <f>VLOOKUP(Table1[[#This Row],[Official_Defect_Name]],Table3[#All],6,1)</f>
        <v>#N/A</v>
      </c>
      <c r="M81" t="s">
        <v>43</v>
      </c>
      <c r="N81" t="s">
        <v>609</v>
      </c>
      <c r="O81" t="s">
        <v>644</v>
      </c>
      <c r="R81" t="s">
        <v>645</v>
      </c>
      <c r="S81" t="s">
        <v>646</v>
      </c>
      <c r="T81" t="s">
        <v>647</v>
      </c>
      <c r="U81" s="5"/>
      <c r="V81" s="5" t="s">
        <v>648</v>
      </c>
      <c r="W81" s="5"/>
      <c r="X81" s="5"/>
      <c r="Y81" s="5"/>
      <c r="Z81" s="5"/>
      <c r="AA81" s="5"/>
      <c r="AB81" s="5"/>
      <c r="AC81" s="10" t="s">
        <v>603</v>
      </c>
      <c r="AD81" s="10" t="s">
        <v>649</v>
      </c>
      <c r="AE81" s="10" t="s">
        <v>650</v>
      </c>
      <c r="AF81" s="10" t="s">
        <v>651</v>
      </c>
      <c r="AG81" s="10" t="s">
        <v>652</v>
      </c>
      <c r="AH81" s="10"/>
      <c r="AI81" s="10" t="s">
        <v>653</v>
      </c>
      <c r="AJ81" s="5" t="s">
        <v>654</v>
      </c>
      <c r="AK81" s="5"/>
      <c r="AL81" s="5"/>
      <c r="AM81" t="s">
        <v>655</v>
      </c>
      <c r="AN81" t="s">
        <v>74</v>
      </c>
    </row>
    <row r="82" spans="1:40" ht="72.75">
      <c r="A82" t="s">
        <v>656</v>
      </c>
      <c r="B82" t="s">
        <v>657</v>
      </c>
      <c r="C82" s="3">
        <v>45707</v>
      </c>
      <c r="D82" s="3">
        <v>45709</v>
      </c>
      <c r="E82" t="s">
        <v>41</v>
      </c>
      <c r="H82" t="str">
        <f>VLOOKUP(Table1[[#This Row],[Official_Defect_Name]],Sheet2!$A:$F,2,FALSE)</f>
        <v>TKSAL-028</v>
      </c>
      <c r="I82" s="16" t="s">
        <v>658</v>
      </c>
      <c r="J82" s="16"/>
      <c r="K82" t="s">
        <v>659</v>
      </c>
      <c r="L82" t="e">
        <f>VLOOKUP(Table1[[#This Row],[Official_Defect_Name]],Table3[#All],6,1)</f>
        <v>#N/A</v>
      </c>
      <c r="M82" t="s">
        <v>43</v>
      </c>
      <c r="N82" t="s">
        <v>599</v>
      </c>
      <c r="O82" t="s">
        <v>660</v>
      </c>
      <c r="R82" t="s">
        <v>270</v>
      </c>
      <c r="S82" t="s">
        <v>661</v>
      </c>
      <c r="T82" t="s">
        <v>662</v>
      </c>
      <c r="U82" s="5"/>
      <c r="V82" s="5" t="s">
        <v>663</v>
      </c>
      <c r="W82" s="5"/>
      <c r="X82" s="5"/>
      <c r="Y82" s="5"/>
      <c r="Z82" s="5"/>
      <c r="AA82" s="5"/>
      <c r="AB82" s="5"/>
      <c r="AC82" s="10" t="s">
        <v>603</v>
      </c>
      <c r="AD82" s="10"/>
      <c r="AE82" s="10"/>
      <c r="AF82" s="10"/>
      <c r="AG82" s="10"/>
      <c r="AH82" s="10"/>
      <c r="AI82" s="10" t="s">
        <v>604</v>
      </c>
      <c r="AJ82" s="5" t="s">
        <v>664</v>
      </c>
      <c r="AK82" s="5"/>
      <c r="AL82" s="5"/>
      <c r="AM82" t="s">
        <v>665</v>
      </c>
      <c r="AN82" t="s">
        <v>95</v>
      </c>
    </row>
    <row r="83" spans="1:40" ht="15" customHeight="1">
      <c r="A83" t="s">
        <v>666</v>
      </c>
      <c r="B83" t="s">
        <v>667</v>
      </c>
      <c r="C83" s="3">
        <v>45707</v>
      </c>
      <c r="D83" s="3">
        <v>45709</v>
      </c>
      <c r="E83" t="s">
        <v>41</v>
      </c>
      <c r="H83" t="e">
        <f>VLOOKUP(Table1[[#This Row],[Official_Defect_Name]],Sheet2!$A:$F,2,FALSE)</f>
        <v>#N/A</v>
      </c>
      <c r="I83" t="s">
        <v>668</v>
      </c>
      <c r="K83" t="s">
        <v>669</v>
      </c>
      <c r="L83" t="e">
        <f>VLOOKUP(Table1[[#This Row],[Official_Defect_Name]],Table3[#All],6,1)</f>
        <v>#N/A</v>
      </c>
      <c r="M83" t="s">
        <v>43</v>
      </c>
      <c r="N83" t="s">
        <v>632</v>
      </c>
      <c r="O83" t="s">
        <v>670</v>
      </c>
      <c r="R83" t="s">
        <v>671</v>
      </c>
      <c r="S83" t="s">
        <v>672</v>
      </c>
      <c r="T83" t="s">
        <v>673</v>
      </c>
      <c r="U83" s="5"/>
      <c r="V83" s="5" t="s">
        <v>674</v>
      </c>
      <c r="W83" s="5"/>
      <c r="X83" s="5"/>
      <c r="Y83" s="5" t="s">
        <v>675</v>
      </c>
      <c r="Z83" s="5" t="s">
        <v>676</v>
      </c>
      <c r="AA83" s="5" t="s">
        <v>675</v>
      </c>
      <c r="AB83" s="5" t="s">
        <v>675</v>
      </c>
      <c r="AC83" s="10" t="s">
        <v>677</v>
      </c>
      <c r="AD83" s="10" t="s">
        <v>668</v>
      </c>
      <c r="AE83" s="10" t="s">
        <v>678</v>
      </c>
      <c r="AF83" s="10" t="s">
        <v>679</v>
      </c>
      <c r="AG83" s="10" t="s">
        <v>680</v>
      </c>
      <c r="AH83" s="10" t="s">
        <v>681</v>
      </c>
      <c r="AI83" s="10" t="s">
        <v>682</v>
      </c>
      <c r="AJ83" s="5" t="s">
        <v>683</v>
      </c>
      <c r="AK83" s="5"/>
      <c r="AL83" s="5"/>
      <c r="AM83" t="s">
        <v>684</v>
      </c>
      <c r="AN83" t="s">
        <v>84</v>
      </c>
    </row>
    <row r="84" spans="1:40" ht="15" customHeight="1">
      <c r="A84" t="s">
        <v>685</v>
      </c>
      <c r="B84" t="s">
        <v>686</v>
      </c>
      <c r="C84" s="3">
        <v>45712</v>
      </c>
      <c r="D84" s="3">
        <v>45712</v>
      </c>
      <c r="E84" t="s">
        <v>41</v>
      </c>
      <c r="H84" t="str">
        <f>VLOOKUP(Table1[[#This Row],[Official_Defect_Name]],Sheet2!$A:$F,2,FALSE)</f>
        <v>TKSAL-003</v>
      </c>
      <c r="I84" t="s">
        <v>141</v>
      </c>
      <c r="K84" t="s">
        <v>687</v>
      </c>
      <c r="L84" t="e">
        <f>VLOOKUP(Table1[[#This Row],[Official_Defect_Name]],Table3[#All],6,1)</f>
        <v>#N/A</v>
      </c>
      <c r="M84" t="s">
        <v>43</v>
      </c>
      <c r="N84" t="s">
        <v>599</v>
      </c>
      <c r="O84" t="s">
        <v>551</v>
      </c>
      <c r="R84" t="s">
        <v>688</v>
      </c>
      <c r="S84" t="s">
        <v>689</v>
      </c>
      <c r="T84" t="s">
        <v>690</v>
      </c>
      <c r="U84" s="5"/>
      <c r="V84" s="5" t="s">
        <v>691</v>
      </c>
      <c r="W84" s="5"/>
      <c r="X84" s="5"/>
      <c r="Y84" s="5" t="s">
        <v>692</v>
      </c>
      <c r="Z84" s="5" t="s">
        <v>693</v>
      </c>
      <c r="AA84" s="5" t="s">
        <v>675</v>
      </c>
      <c r="AB84" s="5" t="s">
        <v>675</v>
      </c>
      <c r="AC84" s="10" t="s">
        <v>694</v>
      </c>
      <c r="AD84" s="10" t="s">
        <v>65</v>
      </c>
      <c r="AE84" s="10" t="s">
        <v>695</v>
      </c>
      <c r="AF84" s="10" t="s">
        <v>692</v>
      </c>
      <c r="AG84" s="10" t="s">
        <v>696</v>
      </c>
      <c r="AH84" s="10"/>
      <c r="AI84" s="10" t="s">
        <v>697</v>
      </c>
      <c r="AJ84" s="5" t="s">
        <v>692</v>
      </c>
      <c r="AK84" s="5"/>
      <c r="AL84" s="5"/>
      <c r="AM84" t="s">
        <v>698</v>
      </c>
      <c r="AN84" t="s">
        <v>84</v>
      </c>
    </row>
    <row r="85" spans="1:40" ht="15" customHeight="1">
      <c r="A85" t="s">
        <v>699</v>
      </c>
      <c r="B85" t="s">
        <v>700</v>
      </c>
      <c r="C85" s="3">
        <v>45712</v>
      </c>
      <c r="D85" s="3">
        <v>45712</v>
      </c>
      <c r="E85" t="s">
        <v>41</v>
      </c>
      <c r="H85" t="str">
        <f>VLOOKUP(Table1[[#This Row],[Official_Defect_Name]],Sheet2!$A:$F,2,FALSE)</f>
        <v>TKSAL-003</v>
      </c>
      <c r="I85" t="s">
        <v>141</v>
      </c>
      <c r="K85" t="s">
        <v>141</v>
      </c>
      <c r="L85" t="e">
        <f>VLOOKUP(Table1[[#This Row],[Official_Defect_Name]],Table3[#All],6,1)</f>
        <v>#N/A</v>
      </c>
      <c r="M85" t="s">
        <v>43</v>
      </c>
      <c r="N85" t="s">
        <v>609</v>
      </c>
      <c r="O85" t="s">
        <v>701</v>
      </c>
      <c r="R85" t="s">
        <v>702</v>
      </c>
      <c r="S85" t="s">
        <v>703</v>
      </c>
      <c r="T85" t="s">
        <v>704</v>
      </c>
      <c r="U85" s="5"/>
      <c r="V85" s="5" t="s">
        <v>705</v>
      </c>
      <c r="W85" s="5"/>
      <c r="X85" s="5"/>
      <c r="Y85" s="5"/>
      <c r="Z85" s="5"/>
      <c r="AA85" s="5"/>
      <c r="AB85" s="5"/>
      <c r="AC85" s="10" t="s">
        <v>603</v>
      </c>
      <c r="AD85" s="10" t="s">
        <v>141</v>
      </c>
      <c r="AE85" s="10" t="s">
        <v>706</v>
      </c>
      <c r="AF85" s="10" t="s">
        <v>540</v>
      </c>
      <c r="AG85" s="10" t="s">
        <v>367</v>
      </c>
      <c r="AH85" s="10"/>
      <c r="AI85" s="10" t="s">
        <v>707</v>
      </c>
      <c r="AJ85" s="5" t="s">
        <v>708</v>
      </c>
      <c r="AK85" s="5"/>
      <c r="AL85" s="5"/>
      <c r="AM85" t="s">
        <v>709</v>
      </c>
      <c r="AN85" t="s">
        <v>74</v>
      </c>
    </row>
    <row r="86" spans="1:40" ht="15" customHeight="1">
      <c r="A86" t="s">
        <v>710</v>
      </c>
      <c r="B86" t="s">
        <v>711</v>
      </c>
      <c r="C86" s="3">
        <v>45712</v>
      </c>
      <c r="D86" s="3">
        <v>45712</v>
      </c>
      <c r="E86" t="s">
        <v>41</v>
      </c>
      <c r="H86" t="str">
        <f>VLOOKUP(Table1[[#This Row],[Official_Defect_Name]],Sheet2!$A:$F,2,FALSE)</f>
        <v>TKSAL-005</v>
      </c>
      <c r="I86" t="s">
        <v>159</v>
      </c>
      <c r="K86" t="s">
        <v>65</v>
      </c>
      <c r="L86" t="e">
        <f>VLOOKUP(Table1[[#This Row],[Official_Defect_Name]],Table3[#All],6,1)</f>
        <v>#N/A</v>
      </c>
      <c r="M86" t="s">
        <v>43</v>
      </c>
      <c r="N86" t="s">
        <v>609</v>
      </c>
      <c r="O86" t="s">
        <v>712</v>
      </c>
      <c r="R86" t="s">
        <v>191</v>
      </c>
      <c r="S86" t="s">
        <v>713</v>
      </c>
      <c r="T86" t="s">
        <v>714</v>
      </c>
      <c r="U86" s="5"/>
      <c r="V86" s="5" t="s">
        <v>715</v>
      </c>
      <c r="W86" s="5"/>
      <c r="X86" s="5"/>
      <c r="Y86" s="5"/>
      <c r="Z86" s="5"/>
      <c r="AA86" s="5" t="s">
        <v>716</v>
      </c>
      <c r="AB86" s="5"/>
      <c r="AC86" s="10" t="s">
        <v>717</v>
      </c>
      <c r="AD86" s="10" t="s">
        <v>718</v>
      </c>
      <c r="AE86" s="10" t="s">
        <v>719</v>
      </c>
      <c r="AF86" s="10" t="s">
        <v>720</v>
      </c>
      <c r="AG86" s="10" t="s">
        <v>721</v>
      </c>
      <c r="AH86" s="10" t="s">
        <v>722</v>
      </c>
      <c r="AI86" s="10" t="s">
        <v>723</v>
      </c>
      <c r="AJ86" s="5" t="s">
        <v>722</v>
      </c>
      <c r="AK86" s="5"/>
      <c r="AL86" s="5"/>
      <c r="AM86" t="s">
        <v>724</v>
      </c>
      <c r="AN86" t="s">
        <v>84</v>
      </c>
    </row>
    <row r="87" spans="1:40" ht="15" customHeight="1">
      <c r="A87" t="s">
        <v>725</v>
      </c>
      <c r="B87" t="s">
        <v>726</v>
      </c>
      <c r="C87" s="3">
        <v>45713</v>
      </c>
      <c r="D87" s="3">
        <v>45713</v>
      </c>
      <c r="E87" t="s">
        <v>47</v>
      </c>
      <c r="H87" t="e">
        <f>VLOOKUP(Table1[[#This Row],[Official_Defect_Name]],Sheet2!$A:$F,2,FALSE)</f>
        <v>#N/A</v>
      </c>
      <c r="I87" t="s">
        <v>516</v>
      </c>
      <c r="K87" t="s">
        <v>727</v>
      </c>
      <c r="L87" t="str">
        <f>VLOOKUP(Table1[[#This Row],[Official_Defect_Name]],Table3[#All],6,1)</f>
        <v>High</v>
      </c>
      <c r="M87" t="s">
        <v>43</v>
      </c>
      <c r="N87" t="s">
        <v>609</v>
      </c>
      <c r="O87" t="s">
        <v>712</v>
      </c>
      <c r="R87" t="s">
        <v>436</v>
      </c>
      <c r="S87" t="s">
        <v>728</v>
      </c>
      <c r="T87" t="s">
        <v>729</v>
      </c>
      <c r="U87" s="5"/>
      <c r="V87" s="5" t="s">
        <v>730</v>
      </c>
      <c r="W87" s="5"/>
      <c r="X87" s="5"/>
      <c r="Y87" s="5"/>
      <c r="Z87" s="5"/>
      <c r="AA87" s="5"/>
      <c r="AB87" s="5"/>
      <c r="AC87" s="10" t="s">
        <v>603</v>
      </c>
      <c r="AD87" s="10"/>
      <c r="AE87" s="10"/>
      <c r="AF87" s="10"/>
      <c r="AG87" s="10"/>
      <c r="AH87" s="10"/>
      <c r="AI87" s="10" t="s">
        <v>604</v>
      </c>
      <c r="AJ87" s="5" t="s">
        <v>317</v>
      </c>
      <c r="AK87" s="5"/>
      <c r="AL87" s="5"/>
      <c r="AM87" t="s">
        <v>731</v>
      </c>
      <c r="AN87" t="s">
        <v>84</v>
      </c>
    </row>
    <row r="88" spans="1:40" ht="15" customHeight="1">
      <c r="A88" t="s">
        <v>732</v>
      </c>
      <c r="B88" t="s">
        <v>733</v>
      </c>
      <c r="C88" s="3">
        <v>45714</v>
      </c>
      <c r="D88" s="3">
        <v>45719</v>
      </c>
      <c r="E88" t="s">
        <v>47</v>
      </c>
      <c r="H88" t="s">
        <v>734</v>
      </c>
      <c r="I88" t="s">
        <v>735</v>
      </c>
      <c r="K88" t="s">
        <v>736</v>
      </c>
      <c r="L88" t="e">
        <f>VLOOKUP(Table1[[#This Row],[Official_Defect_Name]],Table3[#All],6,1)</f>
        <v>#N/A</v>
      </c>
      <c r="M88" t="s">
        <v>43</v>
      </c>
      <c r="N88" t="s">
        <v>599</v>
      </c>
      <c r="O88" t="s">
        <v>551</v>
      </c>
      <c r="R88" t="s">
        <v>737</v>
      </c>
      <c r="S88" t="s">
        <v>738</v>
      </c>
      <c r="T88" t="s">
        <v>739</v>
      </c>
      <c r="U88" s="5"/>
      <c r="V88" s="5" t="s">
        <v>740</v>
      </c>
      <c r="W88" s="5"/>
      <c r="X88" s="5"/>
      <c r="Y88" s="5"/>
      <c r="Z88" s="5"/>
      <c r="AA88" s="5"/>
      <c r="AB88" s="5"/>
      <c r="AC88" s="10" t="s">
        <v>603</v>
      </c>
      <c r="AD88" s="10"/>
      <c r="AE88" s="10"/>
      <c r="AF88" s="10"/>
      <c r="AG88" s="10"/>
      <c r="AH88" s="10"/>
      <c r="AI88" s="10" t="s">
        <v>604</v>
      </c>
      <c r="AJ88" s="5" t="s">
        <v>367</v>
      </c>
      <c r="AK88" s="5"/>
      <c r="AL88" s="5"/>
      <c r="AM88" t="s">
        <v>741</v>
      </c>
      <c r="AN88" t="s">
        <v>84</v>
      </c>
    </row>
    <row r="89" spans="1:40" ht="15" customHeight="1">
      <c r="A89" t="s">
        <v>742</v>
      </c>
      <c r="B89" t="s">
        <v>743</v>
      </c>
      <c r="C89" s="3">
        <v>45715</v>
      </c>
      <c r="D89" s="3">
        <v>45716</v>
      </c>
      <c r="E89" t="s">
        <v>41</v>
      </c>
      <c r="H89" t="s">
        <v>744</v>
      </c>
      <c r="I89" t="s">
        <v>745</v>
      </c>
      <c r="K89" t="s">
        <v>746</v>
      </c>
      <c r="L89" t="str">
        <f>VLOOKUP(Table1[[#This Row],[Official_Defect_Name]],Table3[#All],6,1)</f>
        <v>High</v>
      </c>
      <c r="M89" t="s">
        <v>43</v>
      </c>
      <c r="N89" t="s">
        <v>609</v>
      </c>
      <c r="O89" t="s">
        <v>701</v>
      </c>
      <c r="R89" t="s">
        <v>151</v>
      </c>
      <c r="S89" t="s">
        <v>747</v>
      </c>
      <c r="T89" t="s">
        <v>748</v>
      </c>
      <c r="U89" s="5"/>
      <c r="V89" s="5" t="s">
        <v>749</v>
      </c>
      <c r="W89" s="5"/>
      <c r="X89" s="5"/>
      <c r="Y89" s="5"/>
      <c r="Z89" s="5"/>
      <c r="AA89" s="5"/>
      <c r="AB89" s="5"/>
      <c r="AC89" s="10" t="s">
        <v>603</v>
      </c>
      <c r="AD89" s="10" t="s">
        <v>750</v>
      </c>
      <c r="AE89" s="10" t="s">
        <v>706</v>
      </c>
      <c r="AF89" s="10" t="s">
        <v>751</v>
      </c>
      <c r="AG89" s="10"/>
      <c r="AH89" s="10"/>
      <c r="AI89" s="10" t="s">
        <v>752</v>
      </c>
      <c r="AJ89" s="5" t="s">
        <v>367</v>
      </c>
      <c r="AK89" s="5"/>
      <c r="AL89" s="5"/>
      <c r="AM89" t="s">
        <v>753</v>
      </c>
      <c r="AN89" t="s">
        <v>74</v>
      </c>
    </row>
    <row r="90" spans="1:40" ht="15" customHeight="1">
      <c r="A90" t="s">
        <v>754</v>
      </c>
      <c r="B90" t="s">
        <v>755</v>
      </c>
      <c r="C90" s="3">
        <v>45715</v>
      </c>
      <c r="D90" s="3">
        <v>45716</v>
      </c>
      <c r="E90" t="s">
        <v>41</v>
      </c>
      <c r="H90" t="str">
        <f>VLOOKUP(Table1[[#This Row],[Official_Defect_Name]],Sheet2!$A:$F,2,FALSE)</f>
        <v>TKSAL-022</v>
      </c>
      <c r="I90" t="s">
        <v>243</v>
      </c>
      <c r="K90" t="s">
        <v>243</v>
      </c>
      <c r="L90" t="str">
        <f>VLOOKUP(Table1[[#This Row],[Official_Defect_Name]],Table3[#All],6,1)</f>
        <v>Low</v>
      </c>
      <c r="M90" t="s">
        <v>43</v>
      </c>
      <c r="N90" t="s">
        <v>599</v>
      </c>
      <c r="O90" t="s">
        <v>551</v>
      </c>
      <c r="R90" t="s">
        <v>756</v>
      </c>
      <c r="S90" t="s">
        <v>757</v>
      </c>
      <c r="T90" t="s">
        <v>758</v>
      </c>
      <c r="U90" s="5"/>
      <c r="V90" s="5" t="s">
        <v>759</v>
      </c>
      <c r="W90" s="5"/>
      <c r="X90" s="5"/>
      <c r="Y90" s="5"/>
      <c r="Z90" s="5"/>
      <c r="AA90" s="5"/>
      <c r="AB90" s="5"/>
      <c r="AC90" s="10" t="s">
        <v>603</v>
      </c>
      <c r="AD90" s="10"/>
      <c r="AE90" s="10"/>
      <c r="AF90" s="10"/>
      <c r="AG90" s="10"/>
      <c r="AH90" s="10"/>
      <c r="AI90" s="10" t="s">
        <v>604</v>
      </c>
      <c r="AJ90" s="5" t="s">
        <v>760</v>
      </c>
      <c r="AK90" s="5"/>
      <c r="AL90" s="5"/>
      <c r="AM90" t="s">
        <v>761</v>
      </c>
      <c r="AN90" t="s">
        <v>84</v>
      </c>
    </row>
    <row r="91" spans="1:40" ht="15" customHeight="1">
      <c r="A91" t="s">
        <v>762</v>
      </c>
      <c r="B91" t="s">
        <v>763</v>
      </c>
      <c r="C91" s="3">
        <v>45715</v>
      </c>
      <c r="D91" s="3">
        <v>45716</v>
      </c>
      <c r="E91" t="s">
        <v>41</v>
      </c>
      <c r="H91" t="s">
        <v>764</v>
      </c>
      <c r="I91" t="s">
        <v>765</v>
      </c>
      <c r="K91" t="s">
        <v>766</v>
      </c>
      <c r="L91" t="str">
        <f>VLOOKUP(Table1[[#This Row],[Official_Defect_Name]],Table3[#All],6,1)</f>
        <v>High</v>
      </c>
      <c r="M91" t="s">
        <v>43</v>
      </c>
      <c r="N91" t="s">
        <v>599</v>
      </c>
      <c r="O91" t="s">
        <v>767</v>
      </c>
      <c r="R91" t="s">
        <v>768</v>
      </c>
      <c r="S91" t="s">
        <v>769</v>
      </c>
      <c r="T91" t="s">
        <v>770</v>
      </c>
      <c r="U91" s="5"/>
      <c r="V91" s="5" t="s">
        <v>771</v>
      </c>
      <c r="W91" s="5"/>
      <c r="X91" s="5"/>
      <c r="Y91" s="5"/>
      <c r="Z91" s="5"/>
      <c r="AA91" s="5"/>
      <c r="AB91" s="5"/>
      <c r="AC91" s="10" t="s">
        <v>603</v>
      </c>
      <c r="AD91" s="10" t="s">
        <v>772</v>
      </c>
      <c r="AE91" s="10" t="s">
        <v>773</v>
      </c>
      <c r="AF91" s="10" t="s">
        <v>774</v>
      </c>
      <c r="AG91" s="10"/>
      <c r="AH91" s="10"/>
      <c r="AI91" s="10" t="s">
        <v>775</v>
      </c>
      <c r="AJ91" s="5" t="s">
        <v>776</v>
      </c>
      <c r="AK91" s="5"/>
      <c r="AL91" s="5"/>
      <c r="AM91" t="s">
        <v>359</v>
      </c>
      <c r="AN91" t="s">
        <v>74</v>
      </c>
    </row>
    <row r="92" spans="1:40" ht="15" customHeight="1">
      <c r="A92" t="s">
        <v>777</v>
      </c>
      <c r="B92" t="s">
        <v>778</v>
      </c>
      <c r="C92" s="3">
        <v>45719</v>
      </c>
      <c r="D92" s="3">
        <v>45719</v>
      </c>
      <c r="E92" t="s">
        <v>47</v>
      </c>
      <c r="H92" t="s">
        <v>779</v>
      </c>
      <c r="I92" t="s">
        <v>109</v>
      </c>
      <c r="K92" t="s">
        <v>109</v>
      </c>
      <c r="M92" t="s">
        <v>43</v>
      </c>
      <c r="N92" t="s">
        <v>599</v>
      </c>
      <c r="O92" t="s">
        <v>551</v>
      </c>
      <c r="R92" t="s">
        <v>780</v>
      </c>
      <c r="S92" t="s">
        <v>781</v>
      </c>
      <c r="T92" t="s">
        <v>782</v>
      </c>
      <c r="U92" s="5"/>
      <c r="V92" s="5" t="s">
        <v>783</v>
      </c>
      <c r="W92" s="5"/>
      <c r="X92" s="5"/>
      <c r="Y92" s="5"/>
      <c r="Z92" s="5"/>
      <c r="AA92" s="5"/>
      <c r="AB92" s="5"/>
      <c r="AC92" s="10" t="s">
        <v>603</v>
      </c>
      <c r="AD92" s="10"/>
      <c r="AE92" s="10"/>
      <c r="AF92" s="10"/>
      <c r="AG92" s="10"/>
      <c r="AH92" s="10"/>
      <c r="AI92" s="10" t="s">
        <v>604</v>
      </c>
      <c r="AJ92" s="5" t="s">
        <v>317</v>
      </c>
      <c r="AK92" s="5"/>
      <c r="AL92" s="5"/>
      <c r="AM92" t="s">
        <v>784</v>
      </c>
      <c r="AN92" t="s">
        <v>84</v>
      </c>
    </row>
    <row r="93" spans="1:40" ht="15" customHeight="1">
      <c r="A93" t="s">
        <v>785</v>
      </c>
      <c r="B93" t="s">
        <v>786</v>
      </c>
      <c r="C93" s="3">
        <v>45720</v>
      </c>
      <c r="D93" s="3">
        <v>45736</v>
      </c>
      <c r="E93" t="s">
        <v>457</v>
      </c>
      <c r="H93" t="s">
        <v>787</v>
      </c>
      <c r="I93" t="s">
        <v>252</v>
      </c>
      <c r="K93" t="s">
        <v>252</v>
      </c>
      <c r="M93" t="s">
        <v>43</v>
      </c>
      <c r="N93" t="s">
        <v>599</v>
      </c>
      <c r="O93" t="s">
        <v>551</v>
      </c>
      <c r="R93" t="s">
        <v>97</v>
      </c>
      <c r="S93" t="s">
        <v>788</v>
      </c>
      <c r="T93" t="s">
        <v>789</v>
      </c>
      <c r="U93" s="5"/>
      <c r="V93" s="5" t="e" cm="1">
        <f t="array" aca="1" ref="V93" ca="1">-eLVA1H2E0eBtAyVRd26psgADZLs</f>
        <v>#NAME?</v>
      </c>
      <c r="W93" s="5"/>
      <c r="X93" s="5"/>
      <c r="Y93" s="5"/>
      <c r="Z93" s="5"/>
      <c r="AA93" s="5"/>
      <c r="AB93" s="5"/>
      <c r="AC93" s="10" t="s">
        <v>603</v>
      </c>
      <c r="AD93" s="10"/>
      <c r="AE93" s="10"/>
      <c r="AF93" s="10"/>
      <c r="AG93" s="10"/>
      <c r="AH93" s="10"/>
      <c r="AI93" s="10" t="s">
        <v>604</v>
      </c>
      <c r="AJ93" s="5" t="s">
        <v>790</v>
      </c>
      <c r="AK93" s="5"/>
      <c r="AL93" s="5"/>
      <c r="AM93" t="s">
        <v>791</v>
      </c>
      <c r="AN93" t="s">
        <v>84</v>
      </c>
    </row>
    <row r="94" spans="1:40" ht="15" customHeight="1">
      <c r="A94" t="s">
        <v>792</v>
      </c>
      <c r="B94" t="s">
        <v>793</v>
      </c>
      <c r="C94" s="3">
        <v>45720</v>
      </c>
      <c r="D94" s="3">
        <v>45720</v>
      </c>
      <c r="E94" t="s">
        <v>457</v>
      </c>
      <c r="H94" t="s">
        <v>794</v>
      </c>
      <c r="I94" t="s">
        <v>496</v>
      </c>
      <c r="K94" t="s">
        <v>125</v>
      </c>
      <c r="M94" t="s">
        <v>43</v>
      </c>
      <c r="N94" t="s">
        <v>609</v>
      </c>
      <c r="O94" t="s">
        <v>712</v>
      </c>
      <c r="R94" t="s">
        <v>97</v>
      </c>
      <c r="S94" t="s">
        <v>795</v>
      </c>
      <c r="T94" t="s">
        <v>796</v>
      </c>
      <c r="U94" s="5"/>
      <c r="V94" s="5" t="s">
        <v>797</v>
      </c>
      <c r="W94" s="5"/>
      <c r="X94" s="5"/>
      <c r="Y94" s="5"/>
      <c r="Z94" s="5"/>
      <c r="AA94" s="5"/>
      <c r="AB94" s="5"/>
      <c r="AC94" s="10" t="s">
        <v>603</v>
      </c>
      <c r="AD94" s="10"/>
      <c r="AE94" s="10"/>
      <c r="AF94" s="10"/>
      <c r="AG94" s="10"/>
      <c r="AH94" s="10"/>
      <c r="AI94" s="10" t="s">
        <v>604</v>
      </c>
      <c r="AJ94" s="5" t="s">
        <v>798</v>
      </c>
      <c r="AK94" s="5"/>
      <c r="AL94" s="5"/>
      <c r="AM94" t="s">
        <v>799</v>
      </c>
      <c r="AN94" t="s">
        <v>84</v>
      </c>
    </row>
    <row r="95" spans="1:40" ht="15" customHeight="1">
      <c r="A95" t="s">
        <v>800</v>
      </c>
      <c r="B95" t="s">
        <v>801</v>
      </c>
      <c r="C95" s="3">
        <v>45720</v>
      </c>
      <c r="D95" s="3">
        <v>45722</v>
      </c>
      <c r="E95" t="s">
        <v>41</v>
      </c>
      <c r="H95" t="s">
        <v>787</v>
      </c>
      <c r="I95" t="s">
        <v>252</v>
      </c>
      <c r="K95" t="s">
        <v>252</v>
      </c>
      <c r="M95" t="s">
        <v>43</v>
      </c>
      <c r="N95" t="s">
        <v>609</v>
      </c>
      <c r="O95" t="s">
        <v>620</v>
      </c>
      <c r="R95" t="s">
        <v>802</v>
      </c>
      <c r="S95" t="s">
        <v>803</v>
      </c>
      <c r="T95" t="s">
        <v>804</v>
      </c>
      <c r="U95" s="5"/>
      <c r="V95" s="5" t="s">
        <v>805</v>
      </c>
      <c r="W95" s="5"/>
      <c r="X95" s="5"/>
      <c r="Y95" s="5"/>
      <c r="Z95" s="5"/>
      <c r="AA95" s="5"/>
      <c r="AB95" s="5"/>
      <c r="AC95" s="10" t="s">
        <v>603</v>
      </c>
      <c r="AD95" s="10"/>
      <c r="AE95" s="10"/>
      <c r="AF95" s="10"/>
      <c r="AG95" s="10"/>
      <c r="AH95" s="10"/>
      <c r="AI95" s="10" t="s">
        <v>604</v>
      </c>
      <c r="AJ95" s="5" t="s">
        <v>806</v>
      </c>
      <c r="AK95" s="5"/>
      <c r="AL95" s="5"/>
      <c r="AM95" t="s">
        <v>807</v>
      </c>
      <c r="AN95" t="s">
        <v>74</v>
      </c>
    </row>
    <row r="96" spans="1:40" ht="15" customHeight="1">
      <c r="A96" t="s">
        <v>808</v>
      </c>
      <c r="B96" t="s">
        <v>809</v>
      </c>
      <c r="C96" s="3">
        <v>45721</v>
      </c>
      <c r="D96" s="3">
        <v>45736</v>
      </c>
      <c r="E96" t="s">
        <v>41</v>
      </c>
      <c r="H96" t="s">
        <v>734</v>
      </c>
      <c r="I96" t="s">
        <v>735</v>
      </c>
      <c r="K96" t="s">
        <v>810</v>
      </c>
      <c r="M96" t="s">
        <v>811</v>
      </c>
      <c r="N96" t="s">
        <v>599</v>
      </c>
      <c r="O96" t="s">
        <v>551</v>
      </c>
      <c r="R96" t="s">
        <v>55</v>
      </c>
      <c r="S96" t="s">
        <v>812</v>
      </c>
      <c r="T96" t="s">
        <v>813</v>
      </c>
      <c r="U96" s="5"/>
      <c r="V96" s="5" t="s">
        <v>814</v>
      </c>
      <c r="W96" s="5"/>
      <c r="X96" s="5"/>
      <c r="Y96" s="5"/>
      <c r="Z96" s="5"/>
      <c r="AA96" s="5"/>
      <c r="AB96" s="5"/>
      <c r="AC96" s="10" t="s">
        <v>603</v>
      </c>
      <c r="AD96" s="10"/>
      <c r="AE96" s="10"/>
      <c r="AF96" s="10"/>
      <c r="AG96" s="10"/>
      <c r="AH96" s="10"/>
      <c r="AI96" s="10" t="s">
        <v>604</v>
      </c>
      <c r="AJ96" s="5" t="s">
        <v>516</v>
      </c>
      <c r="AK96" s="5"/>
      <c r="AL96" s="5"/>
      <c r="AM96" t="s">
        <v>317</v>
      </c>
      <c r="AN96" t="s">
        <v>84</v>
      </c>
    </row>
    <row r="97" spans="1:40" ht="15" customHeight="1">
      <c r="A97" t="s">
        <v>815</v>
      </c>
      <c r="B97" t="s">
        <v>816</v>
      </c>
      <c r="C97" s="3">
        <v>45721</v>
      </c>
      <c r="D97" s="3">
        <v>45722</v>
      </c>
      <c r="E97" t="s">
        <v>41</v>
      </c>
      <c r="H97" t="s">
        <v>787</v>
      </c>
      <c r="I97" t="s">
        <v>252</v>
      </c>
      <c r="K97" t="s">
        <v>817</v>
      </c>
      <c r="M97" t="s">
        <v>43</v>
      </c>
      <c r="N97" t="s">
        <v>599</v>
      </c>
      <c r="O97" t="s">
        <v>818</v>
      </c>
      <c r="R97" t="s">
        <v>819</v>
      </c>
      <c r="S97" t="s">
        <v>820</v>
      </c>
      <c r="T97" t="s">
        <v>821</v>
      </c>
      <c r="U97" s="5"/>
      <c r="V97" s="5" t="s">
        <v>822</v>
      </c>
      <c r="W97" s="5"/>
      <c r="X97" s="5"/>
      <c r="Y97" s="5"/>
      <c r="Z97" s="5"/>
      <c r="AA97" s="5"/>
      <c r="AB97" s="5"/>
      <c r="AC97" s="10" t="s">
        <v>603</v>
      </c>
      <c r="AD97" s="10"/>
      <c r="AE97" s="10"/>
      <c r="AF97" s="10"/>
      <c r="AG97" s="10"/>
      <c r="AH97" s="10"/>
      <c r="AI97" s="10" t="s">
        <v>604</v>
      </c>
      <c r="AJ97" s="5" t="s">
        <v>806</v>
      </c>
      <c r="AK97" s="5"/>
      <c r="AL97" s="5"/>
      <c r="AM97" t="s">
        <v>823</v>
      </c>
      <c r="AN97" t="s">
        <v>74</v>
      </c>
    </row>
    <row r="98" spans="1:40" ht="15" customHeight="1">
      <c r="A98" t="s">
        <v>824</v>
      </c>
      <c r="B98" t="s">
        <v>825</v>
      </c>
      <c r="C98" s="3">
        <v>45722</v>
      </c>
      <c r="D98" s="3">
        <v>45722</v>
      </c>
      <c r="E98" t="s">
        <v>41</v>
      </c>
      <c r="H98" t="s">
        <v>826</v>
      </c>
      <c r="I98" t="s">
        <v>827</v>
      </c>
      <c r="K98" t="s">
        <v>828</v>
      </c>
      <c r="M98" t="s">
        <v>43</v>
      </c>
      <c r="N98" t="s">
        <v>609</v>
      </c>
      <c r="O98" t="s">
        <v>829</v>
      </c>
      <c r="R98" t="s">
        <v>830</v>
      </c>
      <c r="S98" t="s">
        <v>831</v>
      </c>
      <c r="T98" t="s">
        <v>832</v>
      </c>
      <c r="U98" s="5"/>
      <c r="V98" s="5" t="s">
        <v>833</v>
      </c>
      <c r="W98" s="5"/>
      <c r="X98" s="5"/>
      <c r="Y98" s="5"/>
      <c r="Z98" s="5"/>
      <c r="AA98" s="5"/>
      <c r="AB98" s="5"/>
      <c r="AC98" s="10" t="s">
        <v>603</v>
      </c>
      <c r="AD98" s="10"/>
      <c r="AE98" s="10"/>
      <c r="AF98" s="10"/>
      <c r="AG98" s="10"/>
      <c r="AH98" s="10"/>
      <c r="AI98" s="10" t="s">
        <v>604</v>
      </c>
      <c r="AJ98" s="5" t="s">
        <v>834</v>
      </c>
      <c r="AK98" s="5"/>
      <c r="AL98" s="5"/>
      <c r="AM98" t="s">
        <v>835</v>
      </c>
      <c r="AN98" t="s">
        <v>95</v>
      </c>
    </row>
    <row r="99" spans="1:40" ht="15" customHeight="1">
      <c r="A99" t="s">
        <v>836</v>
      </c>
      <c r="B99" t="s">
        <v>837</v>
      </c>
      <c r="C99" s="3">
        <v>45722</v>
      </c>
      <c r="D99" s="3">
        <v>45723</v>
      </c>
      <c r="E99" t="s">
        <v>41</v>
      </c>
      <c r="H99" t="s">
        <v>838</v>
      </c>
      <c r="I99" t="s">
        <v>233</v>
      </c>
      <c r="K99" t="s">
        <v>839</v>
      </c>
      <c r="M99" t="s">
        <v>43</v>
      </c>
      <c r="N99" t="s">
        <v>840</v>
      </c>
      <c r="O99" t="s">
        <v>841</v>
      </c>
      <c r="R99" t="s">
        <v>842</v>
      </c>
      <c r="S99" t="s">
        <v>843</v>
      </c>
      <c r="T99" t="s">
        <v>844</v>
      </c>
      <c r="U99" s="5"/>
      <c r="V99" s="5" t="s">
        <v>845</v>
      </c>
      <c r="W99" s="5"/>
      <c r="X99" s="5"/>
      <c r="Y99" s="5"/>
      <c r="Z99" s="5"/>
      <c r="AA99" s="5"/>
      <c r="AB99" s="5"/>
      <c r="AC99" s="10" t="s">
        <v>603</v>
      </c>
      <c r="AD99" s="10"/>
      <c r="AE99" s="10"/>
      <c r="AF99" s="10"/>
      <c r="AG99" s="10"/>
      <c r="AH99" s="10"/>
      <c r="AI99" s="10" t="s">
        <v>604</v>
      </c>
      <c r="AJ99" s="5" t="s">
        <v>846</v>
      </c>
      <c r="AK99" s="5"/>
      <c r="AL99" s="5"/>
      <c r="AM99" t="s">
        <v>847</v>
      </c>
      <c r="AN99" t="s">
        <v>74</v>
      </c>
    </row>
    <row r="100" spans="1:40" ht="15" customHeight="1">
      <c r="A100" t="s">
        <v>848</v>
      </c>
      <c r="B100" t="s">
        <v>849</v>
      </c>
      <c r="C100" s="3">
        <v>45722</v>
      </c>
      <c r="D100" s="3">
        <v>45738</v>
      </c>
      <c r="E100" t="s">
        <v>41</v>
      </c>
      <c r="H100" t="s">
        <v>850</v>
      </c>
      <c r="I100" t="s">
        <v>48</v>
      </c>
      <c r="K100" t="s">
        <v>48</v>
      </c>
      <c r="M100" t="s">
        <v>43</v>
      </c>
      <c r="N100" t="s">
        <v>599</v>
      </c>
      <c r="O100" t="s">
        <v>851</v>
      </c>
      <c r="R100" t="s">
        <v>852</v>
      </c>
      <c r="S100" t="s">
        <v>853</v>
      </c>
      <c r="T100" t="s">
        <v>854</v>
      </c>
      <c r="U100" s="5"/>
      <c r="V100" s="5" t="s">
        <v>855</v>
      </c>
      <c r="W100" s="5"/>
      <c r="X100" s="5"/>
      <c r="Y100" s="5"/>
      <c r="Z100" s="5"/>
      <c r="AA100" s="5"/>
      <c r="AB100" s="5"/>
      <c r="AC100" s="10" t="s">
        <v>603</v>
      </c>
      <c r="AD100" s="10" t="s">
        <v>48</v>
      </c>
      <c r="AE100" s="10" t="s">
        <v>856</v>
      </c>
      <c r="AF100" s="10" t="s">
        <v>367</v>
      </c>
      <c r="AG100" s="10"/>
      <c r="AH100" s="10"/>
      <c r="AI100" s="10" t="s">
        <v>857</v>
      </c>
      <c r="AJ100" s="5" t="s">
        <v>858</v>
      </c>
      <c r="AK100" s="5"/>
      <c r="AL100" s="5"/>
      <c r="AM100" t="s">
        <v>859</v>
      </c>
      <c r="AN100" t="s">
        <v>74</v>
      </c>
    </row>
    <row r="101" spans="1:40" ht="15" customHeight="1">
      <c r="A101" t="s">
        <v>860</v>
      </c>
      <c r="B101" t="s">
        <v>861</v>
      </c>
      <c r="C101" s="3">
        <v>45723</v>
      </c>
      <c r="D101" s="3">
        <v>45723</v>
      </c>
      <c r="E101" t="s">
        <v>278</v>
      </c>
      <c r="H101" t="s">
        <v>838</v>
      </c>
      <c r="I101" t="s">
        <v>233</v>
      </c>
      <c r="K101" t="s">
        <v>862</v>
      </c>
      <c r="M101" t="s">
        <v>43</v>
      </c>
      <c r="N101" t="s">
        <v>840</v>
      </c>
      <c r="O101" t="s">
        <v>841</v>
      </c>
      <c r="R101" t="s">
        <v>97</v>
      </c>
      <c r="S101" t="s">
        <v>843</v>
      </c>
      <c r="T101" t="s">
        <v>863</v>
      </c>
      <c r="U101" s="5"/>
      <c r="V101" s="5" t="s">
        <v>864</v>
      </c>
      <c r="W101" s="5"/>
      <c r="X101" s="5"/>
      <c r="Y101" s="5"/>
      <c r="Z101" s="5"/>
      <c r="AA101" s="5"/>
      <c r="AB101" s="5"/>
      <c r="AC101" s="10" t="s">
        <v>603</v>
      </c>
      <c r="AD101" s="10"/>
      <c r="AE101" s="10"/>
      <c r="AF101" s="10"/>
      <c r="AG101" s="10"/>
      <c r="AH101" s="10"/>
      <c r="AI101" s="10" t="s">
        <v>604</v>
      </c>
      <c r="AJ101" s="5" t="s">
        <v>806</v>
      </c>
      <c r="AK101" s="5"/>
      <c r="AL101" s="5"/>
      <c r="AM101" t="s">
        <v>823</v>
      </c>
      <c r="AN101" t="s">
        <v>74</v>
      </c>
    </row>
    <row r="102" spans="1:40" ht="15" customHeight="1">
      <c r="A102" t="s">
        <v>865</v>
      </c>
      <c r="B102" t="s">
        <v>866</v>
      </c>
      <c r="C102" s="3">
        <v>45723</v>
      </c>
      <c r="D102" s="3">
        <v>45738</v>
      </c>
      <c r="E102" t="s">
        <v>278</v>
      </c>
      <c r="H102" t="s">
        <v>850</v>
      </c>
      <c r="I102" t="s">
        <v>48</v>
      </c>
      <c r="K102" t="s">
        <v>48</v>
      </c>
      <c r="M102" t="s">
        <v>43</v>
      </c>
      <c r="N102" t="s">
        <v>599</v>
      </c>
      <c r="O102" t="s">
        <v>851</v>
      </c>
      <c r="R102" t="s">
        <v>867</v>
      </c>
      <c r="S102" t="s">
        <v>868</v>
      </c>
      <c r="T102" t="s">
        <v>869</v>
      </c>
      <c r="U102" s="5"/>
      <c r="V102" s="5" t="s">
        <v>870</v>
      </c>
      <c r="W102" s="5"/>
      <c r="X102" s="5"/>
      <c r="Y102" s="5"/>
      <c r="Z102" s="5"/>
      <c r="AA102" s="5"/>
      <c r="AB102" s="5"/>
      <c r="AC102" s="10" t="s">
        <v>603</v>
      </c>
      <c r="AD102" s="10" t="s">
        <v>48</v>
      </c>
      <c r="AE102" s="10" t="s">
        <v>856</v>
      </c>
      <c r="AF102" s="10" t="s">
        <v>367</v>
      </c>
      <c r="AG102" s="10"/>
      <c r="AH102" s="10"/>
      <c r="AI102" s="10" t="s">
        <v>857</v>
      </c>
      <c r="AJ102" s="5" t="s">
        <v>856</v>
      </c>
      <c r="AK102" s="5"/>
      <c r="AL102" s="5"/>
      <c r="AM102" t="s">
        <v>859</v>
      </c>
      <c r="AN102" t="s">
        <v>74</v>
      </c>
    </row>
    <row r="103" spans="1:40" ht="15" customHeight="1">
      <c r="A103" t="s">
        <v>871</v>
      </c>
      <c r="B103" t="s">
        <v>872</v>
      </c>
      <c r="C103" s="3">
        <v>45726</v>
      </c>
      <c r="D103" s="3">
        <v>45726</v>
      </c>
      <c r="E103" t="s">
        <v>47</v>
      </c>
      <c r="H103" t="s">
        <v>873</v>
      </c>
      <c r="I103" t="s">
        <v>159</v>
      </c>
      <c r="K103" t="s">
        <v>141</v>
      </c>
      <c r="M103" t="s">
        <v>43</v>
      </c>
      <c r="N103" t="s">
        <v>874</v>
      </c>
      <c r="O103" t="s">
        <v>875</v>
      </c>
      <c r="R103" t="s">
        <v>876</v>
      </c>
      <c r="S103" t="s">
        <v>877</v>
      </c>
      <c r="T103" t="s">
        <v>878</v>
      </c>
      <c r="U103" s="5"/>
      <c r="V103" s="5" t="s">
        <v>879</v>
      </c>
      <c r="W103" s="5"/>
      <c r="X103" s="5"/>
      <c r="Y103" s="5"/>
      <c r="Z103" s="5"/>
      <c r="AA103" s="5"/>
      <c r="AB103" s="5"/>
      <c r="AC103" s="10" t="s">
        <v>603</v>
      </c>
      <c r="AD103" s="10"/>
      <c r="AE103" s="10"/>
      <c r="AF103" s="10"/>
      <c r="AG103" s="10"/>
      <c r="AH103" s="10"/>
      <c r="AI103" s="10" t="s">
        <v>604</v>
      </c>
      <c r="AJ103" s="5" t="s">
        <v>880</v>
      </c>
      <c r="AK103" s="5"/>
      <c r="AL103" s="5"/>
      <c r="AM103" t="s">
        <v>881</v>
      </c>
      <c r="AN103" t="s">
        <v>74</v>
      </c>
    </row>
    <row r="104" spans="1:40" ht="15" customHeight="1">
      <c r="A104" t="s">
        <v>882</v>
      </c>
      <c r="B104" t="s">
        <v>883</v>
      </c>
      <c r="C104" s="3">
        <v>45726</v>
      </c>
      <c r="D104" s="3">
        <v>45736</v>
      </c>
      <c r="E104" t="s">
        <v>47</v>
      </c>
      <c r="H104" t="s">
        <v>884</v>
      </c>
      <c r="I104" t="s">
        <v>181</v>
      </c>
      <c r="K104" t="s">
        <v>181</v>
      </c>
      <c r="M104" t="s">
        <v>43</v>
      </c>
      <c r="N104" t="s">
        <v>599</v>
      </c>
      <c r="O104" t="s">
        <v>551</v>
      </c>
      <c r="R104" t="s">
        <v>885</v>
      </c>
      <c r="S104" t="s">
        <v>886</v>
      </c>
      <c r="T104" t="s">
        <v>887</v>
      </c>
      <c r="U104" s="5"/>
      <c r="V104" s="5" t="s">
        <v>888</v>
      </c>
      <c r="W104" s="5"/>
      <c r="X104" s="5"/>
      <c r="Y104" s="5"/>
      <c r="Z104" s="5"/>
      <c r="AA104" s="5"/>
      <c r="AB104" s="5"/>
      <c r="AC104" s="10" t="s">
        <v>603</v>
      </c>
      <c r="AD104" s="10"/>
      <c r="AE104" s="10"/>
      <c r="AF104" s="10"/>
      <c r="AG104" s="10"/>
      <c r="AH104" s="10"/>
      <c r="AI104" s="10" t="s">
        <v>604</v>
      </c>
      <c r="AJ104" s="5" t="s">
        <v>889</v>
      </c>
      <c r="AK104" s="5"/>
      <c r="AL104" s="5"/>
      <c r="AM104" t="s">
        <v>890</v>
      </c>
      <c r="AN104" t="s">
        <v>84</v>
      </c>
    </row>
    <row r="105" spans="1:40" ht="15" customHeight="1">
      <c r="A105" t="s">
        <v>891</v>
      </c>
      <c r="B105" t="s">
        <v>892</v>
      </c>
      <c r="C105" s="3">
        <v>45727</v>
      </c>
      <c r="D105" s="3">
        <v>45738</v>
      </c>
      <c r="E105" t="s">
        <v>47</v>
      </c>
      <c r="H105" t="s">
        <v>838</v>
      </c>
      <c r="I105" t="s">
        <v>233</v>
      </c>
      <c r="K105" t="s">
        <v>839</v>
      </c>
      <c r="M105" t="s">
        <v>43</v>
      </c>
      <c r="N105" t="s">
        <v>840</v>
      </c>
      <c r="O105" t="s">
        <v>841</v>
      </c>
      <c r="R105" t="s">
        <v>842</v>
      </c>
      <c r="S105" t="s">
        <v>893</v>
      </c>
      <c r="T105" t="s">
        <v>894</v>
      </c>
      <c r="U105" s="5"/>
      <c r="V105" s="5" t="s">
        <v>895</v>
      </c>
      <c r="W105" s="5"/>
      <c r="X105" s="5"/>
      <c r="Y105" s="5" t="s">
        <v>675</v>
      </c>
      <c r="Z105" s="5" t="s">
        <v>675</v>
      </c>
      <c r="AA105" s="5" t="s">
        <v>675</v>
      </c>
      <c r="AB105" s="5" t="s">
        <v>675</v>
      </c>
      <c r="AC105" s="10" t="s">
        <v>896</v>
      </c>
      <c r="AD105" s="10" t="s">
        <v>233</v>
      </c>
      <c r="AE105" s="10" t="s">
        <v>897</v>
      </c>
      <c r="AF105" s="10" t="s">
        <v>898</v>
      </c>
      <c r="AG105" s="10"/>
      <c r="AH105" s="10"/>
      <c r="AI105" s="10" t="s">
        <v>899</v>
      </c>
      <c r="AJ105" s="5" t="s">
        <v>900</v>
      </c>
      <c r="AK105" s="5"/>
      <c r="AL105" s="5"/>
      <c r="AM105" t="s">
        <v>901</v>
      </c>
      <c r="AN105" t="s">
        <v>74</v>
      </c>
    </row>
    <row r="106" spans="1:40" ht="15" customHeight="1">
      <c r="A106" t="s">
        <v>902</v>
      </c>
      <c r="B106" t="s">
        <v>903</v>
      </c>
      <c r="C106" s="3">
        <v>45728</v>
      </c>
      <c r="D106" s="3">
        <v>45728</v>
      </c>
      <c r="E106" t="s">
        <v>278</v>
      </c>
      <c r="H106" t="s">
        <v>904</v>
      </c>
      <c r="I106" t="s">
        <v>65</v>
      </c>
      <c r="K106" t="s">
        <v>905</v>
      </c>
      <c r="M106" t="s">
        <v>43</v>
      </c>
      <c r="N106" t="s">
        <v>609</v>
      </c>
      <c r="O106" t="s">
        <v>712</v>
      </c>
      <c r="R106" t="s">
        <v>906</v>
      </c>
      <c r="S106" t="s">
        <v>907</v>
      </c>
      <c r="T106" t="s">
        <v>908</v>
      </c>
      <c r="U106" s="5"/>
      <c r="V106" s="5" t="s">
        <v>909</v>
      </c>
      <c r="W106" s="5"/>
      <c r="X106" s="5"/>
      <c r="Y106" s="5"/>
      <c r="Z106" s="5"/>
      <c r="AA106" s="5"/>
      <c r="AB106" s="5"/>
      <c r="AC106" s="10" t="s">
        <v>603</v>
      </c>
      <c r="AD106" s="10"/>
      <c r="AE106" s="10"/>
      <c r="AF106" s="10"/>
      <c r="AG106" s="10"/>
      <c r="AH106" s="10"/>
      <c r="AI106" s="10" t="s">
        <v>604</v>
      </c>
      <c r="AJ106" s="5" t="s">
        <v>910</v>
      </c>
      <c r="AK106" s="5"/>
      <c r="AL106" s="5"/>
      <c r="AM106" t="s">
        <v>911</v>
      </c>
      <c r="AN106" t="s">
        <v>84</v>
      </c>
    </row>
    <row r="107" spans="1:40" ht="15" customHeight="1">
      <c r="A107" t="s">
        <v>912</v>
      </c>
      <c r="B107" t="s">
        <v>913</v>
      </c>
      <c r="C107" s="3">
        <v>45728</v>
      </c>
      <c r="D107" s="3">
        <v>45738</v>
      </c>
      <c r="E107" t="s">
        <v>278</v>
      </c>
      <c r="H107" t="s">
        <v>914</v>
      </c>
      <c r="I107" t="s">
        <v>915</v>
      </c>
      <c r="K107" t="s">
        <v>233</v>
      </c>
      <c r="M107" t="s">
        <v>43</v>
      </c>
      <c r="N107" t="s">
        <v>609</v>
      </c>
      <c r="O107" t="s">
        <v>916</v>
      </c>
      <c r="R107" t="s">
        <v>917</v>
      </c>
      <c r="S107" t="s">
        <v>918</v>
      </c>
      <c r="T107" t="s">
        <v>919</v>
      </c>
      <c r="U107" s="5"/>
      <c r="V107" s="5" t="s">
        <v>920</v>
      </c>
      <c r="W107" s="5"/>
      <c r="X107" s="5"/>
      <c r="Y107" s="5"/>
      <c r="Z107" s="5"/>
      <c r="AA107" s="5"/>
      <c r="AB107" s="5"/>
      <c r="AC107" s="10" t="s">
        <v>603</v>
      </c>
      <c r="AD107" s="10" t="s">
        <v>921</v>
      </c>
      <c r="AE107" s="10" t="s">
        <v>922</v>
      </c>
      <c r="AF107" s="10" t="s">
        <v>367</v>
      </c>
      <c r="AG107" s="10"/>
      <c r="AH107" s="10"/>
      <c r="AI107" s="10" t="s">
        <v>923</v>
      </c>
      <c r="AJ107" s="5" t="s">
        <v>924</v>
      </c>
      <c r="AK107" s="5"/>
      <c r="AL107" s="5"/>
      <c r="AM107" t="s">
        <v>925</v>
      </c>
      <c r="AN107" t="s">
        <v>74</v>
      </c>
    </row>
    <row r="108" spans="1:40" ht="15" customHeight="1">
      <c r="A108" t="s">
        <v>926</v>
      </c>
      <c r="B108" t="s">
        <v>927</v>
      </c>
      <c r="C108" s="3">
        <v>45729</v>
      </c>
      <c r="D108" s="3">
        <v>45738</v>
      </c>
      <c r="E108" t="s">
        <v>41</v>
      </c>
      <c r="H108" t="s">
        <v>928</v>
      </c>
      <c r="I108" t="s">
        <v>929</v>
      </c>
      <c r="K108" t="s">
        <v>930</v>
      </c>
      <c r="M108" t="s">
        <v>43</v>
      </c>
      <c r="N108" t="s">
        <v>609</v>
      </c>
      <c r="O108" t="s">
        <v>931</v>
      </c>
      <c r="R108" t="s">
        <v>191</v>
      </c>
      <c r="S108" t="s">
        <v>932</v>
      </c>
      <c r="T108" t="s">
        <v>933</v>
      </c>
      <c r="U108" s="5"/>
      <c r="V108" s="5" t="s">
        <v>934</v>
      </c>
      <c r="W108" s="5"/>
      <c r="X108" s="5"/>
      <c r="Y108" s="5"/>
      <c r="Z108" s="5"/>
      <c r="AA108" s="5"/>
      <c r="AB108" s="5"/>
      <c r="AC108" s="10" t="s">
        <v>603</v>
      </c>
      <c r="AD108" s="10" t="s">
        <v>935</v>
      </c>
      <c r="AE108" s="10" t="s">
        <v>706</v>
      </c>
      <c r="AF108" s="10" t="s">
        <v>936</v>
      </c>
      <c r="AG108" s="10"/>
      <c r="AH108" s="10"/>
      <c r="AI108" s="10" t="s">
        <v>937</v>
      </c>
      <c r="AJ108" s="5" t="s">
        <v>938</v>
      </c>
      <c r="AK108" s="5"/>
      <c r="AL108" s="5"/>
      <c r="AM108" t="s">
        <v>939</v>
      </c>
      <c r="AN108" t="s">
        <v>74</v>
      </c>
    </row>
    <row r="109" spans="1:40" ht="15" customHeight="1">
      <c r="A109" t="s">
        <v>940</v>
      </c>
      <c r="B109" t="s">
        <v>941</v>
      </c>
      <c r="C109" s="3">
        <v>45730</v>
      </c>
      <c r="D109" s="3">
        <v>45738</v>
      </c>
      <c r="E109" t="s">
        <v>47</v>
      </c>
      <c r="H109" t="s">
        <v>942</v>
      </c>
      <c r="I109" t="s">
        <v>169</v>
      </c>
      <c r="K109" t="s">
        <v>943</v>
      </c>
      <c r="M109" t="s">
        <v>43</v>
      </c>
      <c r="N109" t="s">
        <v>609</v>
      </c>
      <c r="O109" t="s">
        <v>931</v>
      </c>
      <c r="R109" t="s">
        <v>191</v>
      </c>
      <c r="S109" t="s">
        <v>944</v>
      </c>
      <c r="T109" t="s">
        <v>945</v>
      </c>
      <c r="U109" s="5"/>
      <c r="V109" s="5" t="s">
        <v>946</v>
      </c>
      <c r="W109" s="5"/>
      <c r="X109" s="5"/>
      <c r="Y109" s="5"/>
      <c r="Z109" s="5"/>
      <c r="AA109" s="5"/>
      <c r="AB109" s="5"/>
      <c r="AC109" s="10" t="s">
        <v>603</v>
      </c>
      <c r="AD109" s="10"/>
      <c r="AE109" s="10"/>
      <c r="AF109" s="10"/>
      <c r="AG109" s="10"/>
      <c r="AH109" s="10"/>
      <c r="AI109" s="10" t="s">
        <v>604</v>
      </c>
      <c r="AJ109" s="5" t="s">
        <v>806</v>
      </c>
      <c r="AK109" s="5"/>
      <c r="AL109" s="5"/>
      <c r="AM109" t="s">
        <v>806</v>
      </c>
      <c r="AN109" t="s">
        <v>74</v>
      </c>
    </row>
    <row r="110" spans="1:40" ht="15" customHeight="1">
      <c r="A110" t="s">
        <v>947</v>
      </c>
      <c r="B110" t="s">
        <v>948</v>
      </c>
      <c r="C110" s="3">
        <v>45731</v>
      </c>
      <c r="D110" s="3">
        <v>45733</v>
      </c>
      <c r="E110" t="s">
        <v>47</v>
      </c>
      <c r="H110" t="s">
        <v>787</v>
      </c>
      <c r="I110" t="s">
        <v>252</v>
      </c>
      <c r="K110" t="s">
        <v>252</v>
      </c>
      <c r="M110" t="s">
        <v>811</v>
      </c>
      <c r="N110" t="s">
        <v>599</v>
      </c>
      <c r="O110" t="s">
        <v>949</v>
      </c>
      <c r="R110" t="s">
        <v>950</v>
      </c>
      <c r="S110" t="s">
        <v>951</v>
      </c>
      <c r="T110" t="s">
        <v>952</v>
      </c>
      <c r="U110" s="5"/>
      <c r="V110" s="5" t="s">
        <v>953</v>
      </c>
      <c r="W110" s="5"/>
      <c r="X110" s="5"/>
      <c r="Y110" s="5"/>
      <c r="Z110" s="5"/>
      <c r="AA110" s="5"/>
      <c r="AB110" s="5"/>
      <c r="AC110" s="10" t="s">
        <v>603</v>
      </c>
      <c r="AD110" s="10"/>
      <c r="AE110" s="10"/>
      <c r="AF110" s="10"/>
      <c r="AG110" s="10"/>
      <c r="AH110" s="10"/>
      <c r="AI110" s="10" t="s">
        <v>604</v>
      </c>
      <c r="AJ110" s="5" t="s">
        <v>954</v>
      </c>
      <c r="AK110" s="5"/>
      <c r="AL110" s="5"/>
      <c r="AM110" t="s">
        <v>954</v>
      </c>
      <c r="AN110" t="s">
        <v>74</v>
      </c>
    </row>
    <row r="111" spans="1:40" ht="15" customHeight="1">
      <c r="A111" t="s">
        <v>955</v>
      </c>
      <c r="B111" t="s">
        <v>956</v>
      </c>
      <c r="C111" s="3">
        <v>45734</v>
      </c>
      <c r="D111" s="3">
        <v>45734</v>
      </c>
      <c r="E111" t="s">
        <v>278</v>
      </c>
      <c r="H111" t="s">
        <v>787</v>
      </c>
      <c r="I111" t="s">
        <v>252</v>
      </c>
      <c r="K111" t="s">
        <v>252</v>
      </c>
      <c r="M111" t="s">
        <v>43</v>
      </c>
      <c r="N111" t="s">
        <v>599</v>
      </c>
      <c r="O111" t="s">
        <v>957</v>
      </c>
      <c r="R111" t="s">
        <v>958</v>
      </c>
      <c r="S111" t="s">
        <v>959</v>
      </c>
      <c r="T111" t="s">
        <v>960</v>
      </c>
      <c r="U111" s="5"/>
      <c r="V111" s="5" t="s">
        <v>961</v>
      </c>
      <c r="W111" s="5"/>
      <c r="X111" s="5"/>
      <c r="Y111" s="5"/>
      <c r="Z111" s="5"/>
      <c r="AA111" s="5"/>
      <c r="AB111" s="5"/>
      <c r="AC111" s="10" t="s">
        <v>603</v>
      </c>
      <c r="AD111" s="10"/>
      <c r="AE111" s="10"/>
      <c r="AF111" s="10"/>
      <c r="AG111" s="10"/>
      <c r="AH111" s="10"/>
      <c r="AI111" s="10" t="s">
        <v>604</v>
      </c>
      <c r="AJ111" s="5" t="s">
        <v>962</v>
      </c>
      <c r="AK111" s="5"/>
      <c r="AL111" s="5"/>
      <c r="AM111" t="s">
        <v>963</v>
      </c>
      <c r="AN111" t="s">
        <v>95</v>
      </c>
    </row>
    <row r="112" spans="1:40" ht="15" customHeight="1">
      <c r="A112" t="s">
        <v>964</v>
      </c>
      <c r="B112" t="s">
        <v>965</v>
      </c>
      <c r="C112" s="3">
        <v>45741</v>
      </c>
      <c r="D112" s="3">
        <v>45763</v>
      </c>
      <c r="E112" t="s">
        <v>41</v>
      </c>
      <c r="H112" t="s">
        <v>884</v>
      </c>
      <c r="I112" t="s">
        <v>181</v>
      </c>
      <c r="K112" t="s">
        <v>181</v>
      </c>
      <c r="M112" t="s">
        <v>43</v>
      </c>
      <c r="N112" t="s">
        <v>599</v>
      </c>
      <c r="O112" t="s">
        <v>966</v>
      </c>
      <c r="R112" t="s">
        <v>173</v>
      </c>
      <c r="S112" t="s">
        <v>967</v>
      </c>
      <c r="T112" t="s">
        <v>968</v>
      </c>
      <c r="U112" s="5"/>
      <c r="V112" s="5" t="s">
        <v>969</v>
      </c>
      <c r="W112" s="5"/>
      <c r="X112" s="5"/>
      <c r="Y112" s="5"/>
      <c r="Z112" s="5"/>
      <c r="AA112" s="5"/>
      <c r="AB112" s="5"/>
      <c r="AC112" s="10" t="s">
        <v>603</v>
      </c>
      <c r="AD112" s="10"/>
      <c r="AE112" s="10"/>
      <c r="AF112" s="10"/>
      <c r="AG112" s="10"/>
      <c r="AH112" s="10"/>
      <c r="AI112" s="10" t="s">
        <v>604</v>
      </c>
      <c r="AJ112" s="5" t="s">
        <v>970</v>
      </c>
      <c r="AK112" s="5"/>
      <c r="AL112" s="5"/>
      <c r="AM112" t="s">
        <v>971</v>
      </c>
      <c r="AN112" t="s">
        <v>74</v>
      </c>
    </row>
    <row r="113" spans="1:40" ht="15" customHeight="1">
      <c r="A113" t="s">
        <v>972</v>
      </c>
      <c r="B113" t="s">
        <v>973</v>
      </c>
      <c r="C113" s="3">
        <v>45741</v>
      </c>
      <c r="D113" s="3">
        <v>45741</v>
      </c>
      <c r="E113" t="s">
        <v>41</v>
      </c>
      <c r="H113" t="s">
        <v>734</v>
      </c>
      <c r="I113" t="s">
        <v>735</v>
      </c>
      <c r="K113" t="s">
        <v>810</v>
      </c>
      <c r="M113" t="s">
        <v>43</v>
      </c>
      <c r="N113" t="s">
        <v>599</v>
      </c>
      <c r="O113" t="s">
        <v>551</v>
      </c>
      <c r="R113" t="s">
        <v>270</v>
      </c>
      <c r="S113" t="s">
        <v>974</v>
      </c>
      <c r="T113" t="s">
        <v>975</v>
      </c>
      <c r="U113" s="5"/>
      <c r="V113" s="5" t="s">
        <v>976</v>
      </c>
      <c r="W113" s="5"/>
      <c r="X113" s="5"/>
      <c r="Y113" s="5"/>
      <c r="Z113" s="5"/>
      <c r="AA113" s="5"/>
      <c r="AB113" s="5"/>
      <c r="AC113" s="10" t="s">
        <v>603</v>
      </c>
      <c r="AD113" s="10"/>
      <c r="AE113" s="10"/>
      <c r="AF113" s="10"/>
      <c r="AG113" s="10"/>
      <c r="AH113" s="10"/>
      <c r="AI113" s="10" t="s">
        <v>604</v>
      </c>
      <c r="AJ113" s="5" t="s">
        <v>977</v>
      </c>
      <c r="AK113" s="5"/>
      <c r="AL113" s="5"/>
      <c r="AM113" t="s">
        <v>978</v>
      </c>
      <c r="AN113" t="s">
        <v>84</v>
      </c>
    </row>
    <row r="114" spans="1:40" ht="15" customHeight="1">
      <c r="A114" t="s">
        <v>979</v>
      </c>
      <c r="B114" t="s">
        <v>980</v>
      </c>
      <c r="C114" s="3">
        <v>45754</v>
      </c>
      <c r="D114" s="3">
        <v>45754</v>
      </c>
      <c r="E114" t="s">
        <v>47</v>
      </c>
      <c r="H114" t="s">
        <v>981</v>
      </c>
      <c r="I114" t="s">
        <v>190</v>
      </c>
      <c r="K114" t="s">
        <v>190</v>
      </c>
      <c r="M114" t="s">
        <v>43</v>
      </c>
      <c r="N114" t="s">
        <v>609</v>
      </c>
      <c r="O114" t="s">
        <v>982</v>
      </c>
      <c r="R114" t="s">
        <v>97</v>
      </c>
      <c r="S114" t="s">
        <v>983</v>
      </c>
      <c r="T114" t="s">
        <v>984</v>
      </c>
      <c r="U114" s="5"/>
      <c r="V114" s="5" t="s">
        <v>985</v>
      </c>
      <c r="W114" s="5"/>
      <c r="X114" s="5"/>
      <c r="Y114" s="5"/>
      <c r="Z114" s="5"/>
      <c r="AA114" s="5"/>
      <c r="AB114" s="5"/>
      <c r="AC114" s="10" t="s">
        <v>603</v>
      </c>
      <c r="AD114" s="10" t="s">
        <v>190</v>
      </c>
      <c r="AE114" s="10" t="s">
        <v>986</v>
      </c>
      <c r="AF114" s="10" t="s">
        <v>987</v>
      </c>
      <c r="AG114" s="10" t="s">
        <v>988</v>
      </c>
      <c r="AH114" s="10" t="s">
        <v>989</v>
      </c>
      <c r="AI114" s="10" t="s">
        <v>990</v>
      </c>
      <c r="AJ114" s="5" t="s">
        <v>991</v>
      </c>
      <c r="AK114" s="5"/>
      <c r="AL114" s="5"/>
      <c r="AM114" t="s">
        <v>992</v>
      </c>
      <c r="AN114" t="s">
        <v>84</v>
      </c>
    </row>
    <row r="115" spans="1:40" ht="15" customHeight="1">
      <c r="A115" t="s">
        <v>993</v>
      </c>
      <c r="B115" t="s">
        <v>994</v>
      </c>
      <c r="C115" s="3">
        <v>45754</v>
      </c>
      <c r="D115" s="3">
        <v>45763</v>
      </c>
      <c r="E115" t="s">
        <v>47</v>
      </c>
      <c r="H115" t="s">
        <v>838</v>
      </c>
      <c r="I115" t="s">
        <v>233</v>
      </c>
      <c r="K115" t="s">
        <v>995</v>
      </c>
      <c r="M115" t="s">
        <v>43</v>
      </c>
      <c r="N115" t="s">
        <v>840</v>
      </c>
      <c r="O115" t="s">
        <v>996</v>
      </c>
      <c r="R115" t="s">
        <v>997</v>
      </c>
      <c r="S115" t="s">
        <v>998</v>
      </c>
      <c r="T115" t="s">
        <v>999</v>
      </c>
      <c r="U115" s="5"/>
      <c r="V115" s="5" t="s">
        <v>1000</v>
      </c>
      <c r="W115" s="5"/>
      <c r="X115" s="5"/>
      <c r="Y115" s="5"/>
      <c r="Z115" s="5"/>
      <c r="AA115" s="5"/>
      <c r="AB115" s="5"/>
      <c r="AC115" s="10" t="s">
        <v>603</v>
      </c>
      <c r="AD115" s="10"/>
      <c r="AE115" s="10"/>
      <c r="AF115" s="10"/>
      <c r="AG115" s="10"/>
      <c r="AH115" s="10"/>
      <c r="AI115" s="10" t="s">
        <v>604</v>
      </c>
      <c r="AJ115" s="5" t="s">
        <v>1001</v>
      </c>
      <c r="AK115" s="5"/>
      <c r="AL115" s="5"/>
      <c r="AM115" t="s">
        <v>1002</v>
      </c>
      <c r="AN115" t="s">
        <v>74</v>
      </c>
    </row>
    <row r="116" spans="1:40" ht="15" customHeight="1">
      <c r="A116" t="s">
        <v>1003</v>
      </c>
      <c r="B116" t="s">
        <v>1004</v>
      </c>
      <c r="C116" s="3">
        <v>45755</v>
      </c>
      <c r="D116" s="3">
        <v>45755</v>
      </c>
      <c r="E116" t="s">
        <v>47</v>
      </c>
      <c r="H116" t="s">
        <v>779</v>
      </c>
      <c r="I116" t="s">
        <v>109</v>
      </c>
      <c r="K116" t="s">
        <v>109</v>
      </c>
      <c r="M116" t="s">
        <v>43</v>
      </c>
      <c r="N116" t="s">
        <v>599</v>
      </c>
      <c r="O116" t="s">
        <v>1005</v>
      </c>
      <c r="R116" t="s">
        <v>106</v>
      </c>
      <c r="S116" t="s">
        <v>1006</v>
      </c>
      <c r="T116" t="s">
        <v>1007</v>
      </c>
      <c r="U116" s="5"/>
      <c r="V116" s="5" t="s">
        <v>1008</v>
      </c>
      <c r="W116" s="5"/>
      <c r="X116" s="5"/>
      <c r="Y116" s="5"/>
      <c r="Z116" s="5"/>
      <c r="AA116" s="5"/>
      <c r="AB116" s="5"/>
      <c r="AC116" s="10" t="s">
        <v>603</v>
      </c>
      <c r="AD116" s="10"/>
      <c r="AE116" s="10"/>
      <c r="AF116" s="10"/>
      <c r="AG116" s="10"/>
      <c r="AH116" s="10"/>
      <c r="AI116" s="10" t="s">
        <v>604</v>
      </c>
      <c r="AJ116" s="5" t="s">
        <v>1009</v>
      </c>
      <c r="AK116" s="5"/>
      <c r="AL116" s="5"/>
      <c r="AM116" t="s">
        <v>1010</v>
      </c>
      <c r="AN116" t="s">
        <v>84</v>
      </c>
    </row>
    <row r="117" spans="1:40" ht="15" customHeight="1">
      <c r="A117" t="s">
        <v>1011</v>
      </c>
      <c r="B117" t="s">
        <v>1012</v>
      </c>
      <c r="C117" s="3">
        <v>45755</v>
      </c>
      <c r="D117" s="3">
        <v>45768</v>
      </c>
      <c r="E117" t="s">
        <v>41</v>
      </c>
      <c r="H117" t="s">
        <v>1013</v>
      </c>
      <c r="I117" t="s">
        <v>1014</v>
      </c>
      <c r="K117" t="s">
        <v>1015</v>
      </c>
      <c r="M117" t="s">
        <v>43</v>
      </c>
      <c r="N117" t="s">
        <v>632</v>
      </c>
      <c r="O117" t="s">
        <v>1016</v>
      </c>
      <c r="R117" t="s">
        <v>97</v>
      </c>
      <c r="S117" t="s">
        <v>1017</v>
      </c>
      <c r="T117" t="s">
        <v>1018</v>
      </c>
      <c r="U117" s="5"/>
      <c r="V117" s="5" t="s">
        <v>1019</v>
      </c>
      <c r="W117" s="5"/>
      <c r="X117" s="5"/>
      <c r="Y117" s="5"/>
      <c r="Z117" s="5"/>
      <c r="AA117" s="5"/>
      <c r="AB117" s="5"/>
      <c r="AC117" s="10" t="s">
        <v>603</v>
      </c>
      <c r="AD117" s="10" t="s">
        <v>1014</v>
      </c>
      <c r="AE117" s="10" t="s">
        <v>1020</v>
      </c>
      <c r="AF117" s="10" t="s">
        <v>1021</v>
      </c>
      <c r="AG117" s="10"/>
      <c r="AH117" s="10"/>
      <c r="AI117" s="10" t="s">
        <v>1022</v>
      </c>
      <c r="AJ117" s="5" t="s">
        <v>1023</v>
      </c>
      <c r="AK117" s="5"/>
      <c r="AL117" s="5"/>
      <c r="AM117" t="s">
        <v>1024</v>
      </c>
      <c r="AN117" t="s">
        <v>74</v>
      </c>
    </row>
    <row r="118" spans="1:40" ht="15" customHeight="1">
      <c r="A118" t="s">
        <v>1025</v>
      </c>
      <c r="B118" t="s">
        <v>1026</v>
      </c>
      <c r="C118" s="3">
        <v>45756</v>
      </c>
      <c r="D118" s="3">
        <v>45756</v>
      </c>
      <c r="E118" t="s">
        <v>41</v>
      </c>
      <c r="H118" t="s">
        <v>942</v>
      </c>
      <c r="I118" t="s">
        <v>169</v>
      </c>
      <c r="K118" t="s">
        <v>1027</v>
      </c>
      <c r="M118" t="s">
        <v>43</v>
      </c>
      <c r="N118" t="s">
        <v>590</v>
      </c>
      <c r="O118" t="s">
        <v>1028</v>
      </c>
      <c r="R118" t="s">
        <v>1029</v>
      </c>
      <c r="S118" t="s">
        <v>1030</v>
      </c>
      <c r="T118" t="s">
        <v>1031</v>
      </c>
      <c r="U118" s="5"/>
      <c r="V118" s="5" t="s">
        <v>1032</v>
      </c>
      <c r="W118" s="5"/>
      <c r="X118" s="5"/>
      <c r="Y118" s="5"/>
      <c r="Z118" s="5"/>
      <c r="AA118" s="5"/>
      <c r="AB118" s="5"/>
      <c r="AC118" s="10" t="s">
        <v>603</v>
      </c>
      <c r="AD118" s="10"/>
      <c r="AE118" s="10"/>
      <c r="AF118" s="10"/>
      <c r="AG118" s="10"/>
      <c r="AH118" s="10"/>
      <c r="AI118" s="10" t="s">
        <v>604</v>
      </c>
      <c r="AJ118" s="5" t="s">
        <v>1033</v>
      </c>
      <c r="AK118" s="5"/>
      <c r="AL118" s="5"/>
      <c r="AM118" t="s">
        <v>1033</v>
      </c>
      <c r="AN118" t="s">
        <v>74</v>
      </c>
    </row>
    <row r="119" spans="1:40" ht="15" customHeight="1">
      <c r="A119" t="s">
        <v>1034</v>
      </c>
      <c r="B119" t="s">
        <v>1035</v>
      </c>
      <c r="C119" s="3">
        <v>45756</v>
      </c>
      <c r="D119" s="3">
        <v>45757</v>
      </c>
      <c r="E119" t="s">
        <v>41</v>
      </c>
      <c r="H119" t="s">
        <v>838</v>
      </c>
      <c r="I119" t="s">
        <v>233</v>
      </c>
      <c r="K119" t="s">
        <v>1036</v>
      </c>
      <c r="M119" t="s">
        <v>43</v>
      </c>
      <c r="N119" t="s">
        <v>599</v>
      </c>
      <c r="O119" t="s">
        <v>1037</v>
      </c>
      <c r="R119" t="s">
        <v>1038</v>
      </c>
      <c r="S119" t="s">
        <v>1039</v>
      </c>
      <c r="T119" t="s">
        <v>1040</v>
      </c>
      <c r="U119" s="5"/>
      <c r="V119" s="5" t="s">
        <v>1041</v>
      </c>
      <c r="W119" s="5"/>
      <c r="X119" s="5"/>
      <c r="Y119" s="5"/>
      <c r="Z119" s="5"/>
      <c r="AA119" s="5"/>
      <c r="AB119" s="5"/>
      <c r="AC119" s="10" t="s">
        <v>603</v>
      </c>
      <c r="AD119" s="10"/>
      <c r="AE119" s="10"/>
      <c r="AF119" s="10"/>
      <c r="AG119" s="10"/>
      <c r="AH119" s="10"/>
      <c r="AI119" s="10" t="s">
        <v>604</v>
      </c>
      <c r="AJ119" s="5" t="s">
        <v>1042</v>
      </c>
      <c r="AK119" s="5"/>
      <c r="AL119" s="5"/>
      <c r="AM119" t="s">
        <v>1042</v>
      </c>
      <c r="AN119" t="s">
        <v>74</v>
      </c>
    </row>
    <row r="120" spans="1:40" ht="15" customHeight="1">
      <c r="A120" t="s">
        <v>1043</v>
      </c>
      <c r="B120" t="s">
        <v>1044</v>
      </c>
      <c r="C120" s="3">
        <v>45756</v>
      </c>
      <c r="D120" s="3">
        <v>45757</v>
      </c>
      <c r="E120" t="s">
        <v>41</v>
      </c>
      <c r="H120" t="s">
        <v>826</v>
      </c>
      <c r="I120" t="s">
        <v>1045</v>
      </c>
      <c r="K120" t="s">
        <v>1046</v>
      </c>
      <c r="M120" t="s">
        <v>43</v>
      </c>
      <c r="N120" t="s">
        <v>609</v>
      </c>
      <c r="O120" t="s">
        <v>982</v>
      </c>
      <c r="R120" t="s">
        <v>830</v>
      </c>
      <c r="S120" t="s">
        <v>1047</v>
      </c>
      <c r="T120" t="s">
        <v>1048</v>
      </c>
      <c r="U120" s="5"/>
      <c r="V120" s="5" t="s">
        <v>1049</v>
      </c>
      <c r="W120" s="5"/>
      <c r="X120" s="5"/>
      <c r="Y120" s="5"/>
      <c r="Z120" s="5"/>
      <c r="AA120" s="5"/>
      <c r="AB120" s="5"/>
      <c r="AC120" s="10" t="s">
        <v>603</v>
      </c>
      <c r="AD120" s="10"/>
      <c r="AE120" s="10"/>
      <c r="AF120" s="10"/>
      <c r="AG120" s="10"/>
      <c r="AH120" s="10"/>
      <c r="AI120" s="10" t="s">
        <v>604</v>
      </c>
      <c r="AJ120" s="5" t="s">
        <v>516</v>
      </c>
      <c r="AK120" s="5"/>
      <c r="AL120" s="5"/>
      <c r="AM120" t="s">
        <v>1050</v>
      </c>
      <c r="AN120" t="s">
        <v>84</v>
      </c>
    </row>
    <row r="121" spans="1:40" ht="15" customHeight="1">
      <c r="A121" t="s">
        <v>1051</v>
      </c>
      <c r="B121" t="s">
        <v>1052</v>
      </c>
      <c r="C121" s="3">
        <v>45757</v>
      </c>
      <c r="D121" s="3">
        <v>45763</v>
      </c>
      <c r="E121" t="s">
        <v>41</v>
      </c>
      <c r="H121" t="s">
        <v>928</v>
      </c>
      <c r="I121" t="s">
        <v>1053</v>
      </c>
      <c r="K121" t="s">
        <v>1054</v>
      </c>
      <c r="M121" t="s">
        <v>43</v>
      </c>
      <c r="N121" t="s">
        <v>609</v>
      </c>
      <c r="O121" t="s">
        <v>1055</v>
      </c>
      <c r="R121" t="s">
        <v>1056</v>
      </c>
      <c r="S121" t="s">
        <v>1057</v>
      </c>
      <c r="T121" t="s">
        <v>1058</v>
      </c>
      <c r="U121" s="5"/>
      <c r="V121" s="5" t="s">
        <v>1059</v>
      </c>
      <c r="W121" s="5"/>
      <c r="X121" s="5"/>
      <c r="Y121" s="5"/>
      <c r="Z121" s="5"/>
      <c r="AA121" s="5"/>
      <c r="AB121" s="5"/>
      <c r="AC121" s="10" t="s">
        <v>603</v>
      </c>
      <c r="AD121" s="10"/>
      <c r="AE121" s="10"/>
      <c r="AF121" s="10"/>
      <c r="AG121" s="10"/>
      <c r="AH121" s="10"/>
      <c r="AI121" s="10" t="s">
        <v>604</v>
      </c>
      <c r="AJ121" s="5" t="s">
        <v>1060</v>
      </c>
      <c r="AK121" s="5"/>
      <c r="AL121" s="5"/>
      <c r="AM121" t="s">
        <v>1061</v>
      </c>
      <c r="AN121" t="s">
        <v>74</v>
      </c>
    </row>
    <row r="122" spans="1:40" ht="15" customHeight="1">
      <c r="A122" t="s">
        <v>1062</v>
      </c>
      <c r="B122" t="s">
        <v>1063</v>
      </c>
      <c r="C122" s="3">
        <v>45757</v>
      </c>
      <c r="D122" s="3">
        <v>45763</v>
      </c>
      <c r="E122" t="s">
        <v>41</v>
      </c>
      <c r="H122" t="s">
        <v>779</v>
      </c>
      <c r="I122" t="s">
        <v>109</v>
      </c>
      <c r="K122" t="s">
        <v>109</v>
      </c>
      <c r="M122" t="s">
        <v>43</v>
      </c>
      <c r="N122" t="s">
        <v>599</v>
      </c>
      <c r="O122" t="s">
        <v>571</v>
      </c>
      <c r="R122" t="s">
        <v>173</v>
      </c>
      <c r="S122" t="s">
        <v>1064</v>
      </c>
      <c r="T122" t="s">
        <v>1065</v>
      </c>
      <c r="U122" s="5"/>
      <c r="V122" s="5" t="s">
        <v>1066</v>
      </c>
      <c r="W122" s="5"/>
      <c r="X122" s="5"/>
      <c r="Y122" s="5"/>
      <c r="Z122" s="5"/>
      <c r="AA122" s="5"/>
      <c r="AB122" s="5"/>
      <c r="AC122" s="10" t="s">
        <v>603</v>
      </c>
      <c r="AD122" s="10"/>
      <c r="AE122" s="10"/>
      <c r="AF122" s="10"/>
      <c r="AG122" s="10"/>
      <c r="AH122" s="10"/>
      <c r="AI122" s="10" t="s">
        <v>604</v>
      </c>
      <c r="AJ122" s="5" t="s">
        <v>1067</v>
      </c>
      <c r="AK122" s="5"/>
      <c r="AL122" s="5"/>
      <c r="AM122" t="s">
        <v>1068</v>
      </c>
      <c r="AN122" t="s">
        <v>74</v>
      </c>
    </row>
    <row r="123" spans="1:40" ht="15" customHeight="1">
      <c r="A123" t="s">
        <v>1069</v>
      </c>
      <c r="B123" t="s">
        <v>1070</v>
      </c>
      <c r="C123" s="3">
        <v>45758</v>
      </c>
      <c r="D123" s="3">
        <v>45763</v>
      </c>
      <c r="E123" t="s">
        <v>1071</v>
      </c>
      <c r="H123" t="s">
        <v>850</v>
      </c>
      <c r="I123" t="s">
        <v>48</v>
      </c>
      <c r="K123" t="s">
        <v>48</v>
      </c>
      <c r="M123" t="s">
        <v>43</v>
      </c>
      <c r="N123" t="s">
        <v>599</v>
      </c>
      <c r="O123" t="s">
        <v>571</v>
      </c>
      <c r="R123" t="s">
        <v>182</v>
      </c>
      <c r="S123" t="s">
        <v>1072</v>
      </c>
      <c r="T123" t="s">
        <v>1073</v>
      </c>
      <c r="U123" s="5"/>
      <c r="V123" s="5" t="s">
        <v>1074</v>
      </c>
      <c r="W123" s="5"/>
      <c r="X123" s="5"/>
      <c r="Y123" s="5"/>
      <c r="Z123" s="5"/>
      <c r="AA123" s="5"/>
      <c r="AB123" s="5"/>
      <c r="AC123" s="10" t="s">
        <v>603</v>
      </c>
      <c r="AD123" s="10"/>
      <c r="AE123" s="10"/>
      <c r="AF123" s="10"/>
      <c r="AG123" s="10"/>
      <c r="AH123" s="10"/>
      <c r="AI123" s="10" t="s">
        <v>604</v>
      </c>
      <c r="AJ123" s="5" t="s">
        <v>1075</v>
      </c>
      <c r="AK123" s="5"/>
      <c r="AL123" s="5"/>
      <c r="AM123" t="s">
        <v>1068</v>
      </c>
      <c r="AN123" t="s">
        <v>74</v>
      </c>
    </row>
    <row r="124" spans="1:40" ht="15" customHeight="1">
      <c r="A124" t="s">
        <v>1076</v>
      </c>
      <c r="B124" t="s">
        <v>1077</v>
      </c>
      <c r="C124" s="3">
        <v>45761</v>
      </c>
      <c r="D124" s="3">
        <v>45761</v>
      </c>
      <c r="E124" t="s">
        <v>47</v>
      </c>
      <c r="H124" t="s">
        <v>1078</v>
      </c>
      <c r="I124" t="s">
        <v>1079</v>
      </c>
      <c r="K124" t="s">
        <v>1080</v>
      </c>
      <c r="M124" t="s">
        <v>43</v>
      </c>
      <c r="N124" t="s">
        <v>609</v>
      </c>
      <c r="O124" t="s">
        <v>1081</v>
      </c>
      <c r="R124" t="s">
        <v>1082</v>
      </c>
      <c r="S124" t="s">
        <v>1083</v>
      </c>
      <c r="T124" t="s">
        <v>1084</v>
      </c>
      <c r="U124" s="5"/>
      <c r="V124" s="5" t="s">
        <v>1085</v>
      </c>
      <c r="W124" s="5"/>
      <c r="X124" s="5"/>
      <c r="Y124" s="5"/>
      <c r="Z124" s="5"/>
      <c r="AA124" s="5"/>
      <c r="AB124" s="5"/>
      <c r="AC124" s="10" t="s">
        <v>603</v>
      </c>
      <c r="AD124" s="10" t="s">
        <v>1079</v>
      </c>
      <c r="AE124" s="10" t="s">
        <v>1086</v>
      </c>
      <c r="AF124" s="10" t="s">
        <v>1087</v>
      </c>
      <c r="AG124" s="10"/>
      <c r="AH124" s="10"/>
      <c r="AI124" s="10" t="s">
        <v>1088</v>
      </c>
      <c r="AJ124" s="5" t="s">
        <v>1086</v>
      </c>
      <c r="AK124" s="5"/>
      <c r="AL124" s="5"/>
      <c r="AM124" t="s">
        <v>1089</v>
      </c>
      <c r="AN124" t="s">
        <v>74</v>
      </c>
    </row>
    <row r="125" spans="1:40" ht="15" customHeight="1">
      <c r="A125" t="s">
        <v>1090</v>
      </c>
      <c r="B125" t="s">
        <v>1091</v>
      </c>
      <c r="C125" s="3">
        <v>45761</v>
      </c>
      <c r="D125" s="3">
        <v>45763</v>
      </c>
      <c r="E125" t="s">
        <v>41</v>
      </c>
      <c r="H125" t="s">
        <v>1092</v>
      </c>
      <c r="I125" t="s">
        <v>54</v>
      </c>
      <c r="K125" t="s">
        <v>54</v>
      </c>
      <c r="M125" t="s">
        <v>43</v>
      </c>
      <c r="N125" t="s">
        <v>599</v>
      </c>
      <c r="O125" t="s">
        <v>551</v>
      </c>
      <c r="R125" t="s">
        <v>182</v>
      </c>
      <c r="S125" t="s">
        <v>1093</v>
      </c>
      <c r="T125" t="s">
        <v>1094</v>
      </c>
      <c r="U125" s="5"/>
      <c r="V125" s="5" t="s">
        <v>1095</v>
      </c>
      <c r="W125" s="5"/>
      <c r="X125" s="5"/>
      <c r="Y125" s="5"/>
      <c r="Z125" s="5"/>
      <c r="AA125" s="5"/>
      <c r="AB125" s="5"/>
      <c r="AC125" s="10" t="s">
        <v>603</v>
      </c>
      <c r="AD125" s="10"/>
      <c r="AE125" s="10"/>
      <c r="AF125" s="10"/>
      <c r="AG125" s="10"/>
      <c r="AH125" s="10"/>
      <c r="AI125" s="10" t="s">
        <v>604</v>
      </c>
      <c r="AJ125" s="5" t="s">
        <v>575</v>
      </c>
      <c r="AK125" s="5"/>
      <c r="AL125" s="5"/>
      <c r="AM125" t="s">
        <v>1096</v>
      </c>
      <c r="AN125" t="s">
        <v>84</v>
      </c>
    </row>
    <row r="126" spans="1:40" ht="15" customHeight="1">
      <c r="A126" t="s">
        <v>1097</v>
      </c>
      <c r="B126" t="s">
        <v>1098</v>
      </c>
      <c r="C126" s="3">
        <v>45761</v>
      </c>
      <c r="D126" s="3">
        <v>45762</v>
      </c>
      <c r="E126" t="s">
        <v>41</v>
      </c>
      <c r="H126" t="s">
        <v>1092</v>
      </c>
      <c r="I126" t="s">
        <v>54</v>
      </c>
      <c r="K126" t="s">
        <v>54</v>
      </c>
      <c r="M126" t="s">
        <v>43</v>
      </c>
      <c r="N126" t="s">
        <v>599</v>
      </c>
      <c r="O126" t="s">
        <v>966</v>
      </c>
      <c r="R126" t="s">
        <v>1099</v>
      </c>
      <c r="S126" t="s">
        <v>1100</v>
      </c>
      <c r="T126" t="s">
        <v>1101</v>
      </c>
      <c r="U126" s="5"/>
      <c r="V126" s="5" t="s">
        <v>1102</v>
      </c>
      <c r="W126" s="5"/>
      <c r="X126" s="5"/>
      <c r="Y126" s="5"/>
      <c r="Z126" s="5"/>
      <c r="AA126" s="5"/>
      <c r="AB126" s="5"/>
      <c r="AC126" s="10" t="s">
        <v>603</v>
      </c>
      <c r="AD126" s="10"/>
      <c r="AE126" s="10"/>
      <c r="AF126" s="10"/>
      <c r="AG126" s="10"/>
      <c r="AH126" s="10"/>
      <c r="AI126" s="10" t="s">
        <v>604</v>
      </c>
      <c r="AJ126" s="5" t="s">
        <v>1103</v>
      </c>
      <c r="AK126" s="5"/>
      <c r="AL126" s="5"/>
      <c r="AM126" t="s">
        <v>971</v>
      </c>
      <c r="AN126" t="s">
        <v>74</v>
      </c>
    </row>
    <row r="127" spans="1:40" ht="15" customHeight="1">
      <c r="A127" t="s">
        <v>1104</v>
      </c>
      <c r="B127" t="s">
        <v>1105</v>
      </c>
      <c r="C127" s="3">
        <v>45762</v>
      </c>
      <c r="D127" s="3">
        <v>45762</v>
      </c>
      <c r="E127" t="s">
        <v>41</v>
      </c>
      <c r="H127" t="s">
        <v>1092</v>
      </c>
      <c r="I127" t="s">
        <v>54</v>
      </c>
      <c r="K127" t="s">
        <v>54</v>
      </c>
      <c r="M127" t="s">
        <v>43</v>
      </c>
      <c r="N127" t="s">
        <v>599</v>
      </c>
      <c r="O127" t="s">
        <v>966</v>
      </c>
      <c r="R127" t="s">
        <v>780</v>
      </c>
      <c r="S127" t="s">
        <v>1100</v>
      </c>
      <c r="T127" t="s">
        <v>1106</v>
      </c>
      <c r="U127" s="5"/>
      <c r="V127" s="5" t="s">
        <v>1107</v>
      </c>
      <c r="W127" s="5"/>
      <c r="X127" s="5"/>
      <c r="Y127" s="5"/>
      <c r="Z127" s="5"/>
      <c r="AA127" s="5"/>
      <c r="AB127" s="5"/>
      <c r="AC127" s="10" t="s">
        <v>603</v>
      </c>
      <c r="AD127" s="10"/>
      <c r="AE127" s="10"/>
      <c r="AF127" s="10"/>
      <c r="AG127" s="10"/>
      <c r="AH127" s="10"/>
      <c r="AI127" s="10" t="s">
        <v>604</v>
      </c>
      <c r="AJ127" s="5" t="s">
        <v>1103</v>
      </c>
      <c r="AK127" s="5"/>
      <c r="AL127" s="5"/>
      <c r="AM127" t="s">
        <v>1108</v>
      </c>
      <c r="AN127" t="s">
        <v>74</v>
      </c>
    </row>
    <row r="128" spans="1:40" ht="15" customHeight="1">
      <c r="A128" t="s">
        <v>1109</v>
      </c>
      <c r="B128" t="s">
        <v>1110</v>
      </c>
      <c r="C128" s="3">
        <v>45762</v>
      </c>
      <c r="D128" s="3">
        <v>45762</v>
      </c>
      <c r="E128" t="s">
        <v>41</v>
      </c>
      <c r="H128" t="s">
        <v>1111</v>
      </c>
      <c r="I128" s="16" t="s">
        <v>1112</v>
      </c>
      <c r="J128" s="16"/>
      <c r="K128" t="s">
        <v>1113</v>
      </c>
      <c r="M128" t="s">
        <v>43</v>
      </c>
      <c r="N128" t="s">
        <v>599</v>
      </c>
      <c r="O128" t="s">
        <v>1114</v>
      </c>
      <c r="R128" t="s">
        <v>1115</v>
      </c>
      <c r="S128" t="s">
        <v>1116</v>
      </c>
      <c r="T128" t="s">
        <v>1117</v>
      </c>
      <c r="U128" s="5"/>
      <c r="V128" s="5" t="s">
        <v>1118</v>
      </c>
      <c r="W128" s="5"/>
      <c r="X128" s="5"/>
      <c r="Y128" s="5"/>
      <c r="Z128" s="5"/>
      <c r="AA128" s="5"/>
      <c r="AB128" s="5"/>
      <c r="AC128" s="10" t="s">
        <v>603</v>
      </c>
      <c r="AD128" s="10"/>
      <c r="AE128" s="10"/>
      <c r="AF128" s="10"/>
      <c r="AG128" s="10"/>
      <c r="AH128" s="10"/>
      <c r="AI128" s="10" t="s">
        <v>604</v>
      </c>
      <c r="AJ128" s="5" t="s">
        <v>1119</v>
      </c>
      <c r="AK128" s="5"/>
      <c r="AL128" s="5"/>
      <c r="AM128" t="s">
        <v>1120</v>
      </c>
      <c r="AN128" t="s">
        <v>74</v>
      </c>
    </row>
    <row r="129" spans="1:40" ht="15" customHeight="1">
      <c r="A129" t="s">
        <v>1121</v>
      </c>
      <c r="B129" t="s">
        <v>1122</v>
      </c>
      <c r="C129" s="3">
        <v>45763</v>
      </c>
      <c r="D129" s="3">
        <v>45763</v>
      </c>
      <c r="E129" t="s">
        <v>41</v>
      </c>
      <c r="H129" t="s">
        <v>826</v>
      </c>
      <c r="I129" t="s">
        <v>1045</v>
      </c>
      <c r="K129" t="s">
        <v>1045</v>
      </c>
      <c r="M129" t="s">
        <v>43</v>
      </c>
      <c r="N129" t="s">
        <v>599</v>
      </c>
      <c r="O129" t="s">
        <v>1123</v>
      </c>
      <c r="R129" t="s">
        <v>262</v>
      </c>
      <c r="S129" t="s">
        <v>1124</v>
      </c>
      <c r="T129" t="s">
        <v>1125</v>
      </c>
      <c r="U129" s="5"/>
      <c r="V129" s="5" t="s">
        <v>1126</v>
      </c>
      <c r="W129" s="5"/>
      <c r="X129" s="5"/>
      <c r="Y129" s="5"/>
      <c r="Z129" s="5"/>
      <c r="AA129" s="5"/>
      <c r="AB129" s="5"/>
      <c r="AC129" s="10" t="s">
        <v>603</v>
      </c>
      <c r="AD129" s="10"/>
      <c r="AE129" s="10"/>
      <c r="AF129" s="10"/>
      <c r="AG129" s="10"/>
      <c r="AH129" s="10"/>
      <c r="AI129" s="10" t="s">
        <v>604</v>
      </c>
      <c r="AJ129" s="5" t="s">
        <v>1127</v>
      </c>
      <c r="AK129" s="5"/>
      <c r="AL129" s="5"/>
      <c r="AM129" t="s">
        <v>1128</v>
      </c>
      <c r="AN129" t="s">
        <v>74</v>
      </c>
    </row>
    <row r="130" spans="1:40" ht="15" customHeight="1">
      <c r="A130" t="s">
        <v>1129</v>
      </c>
      <c r="B130" t="s">
        <v>1130</v>
      </c>
      <c r="C130" s="3">
        <v>45763</v>
      </c>
      <c r="D130" s="3">
        <v>45763</v>
      </c>
      <c r="E130" t="s">
        <v>41</v>
      </c>
      <c r="H130" t="s">
        <v>850</v>
      </c>
      <c r="I130" t="s">
        <v>48</v>
      </c>
      <c r="K130" t="s">
        <v>48</v>
      </c>
      <c r="M130" t="s">
        <v>43</v>
      </c>
      <c r="N130" t="s">
        <v>599</v>
      </c>
      <c r="O130" t="s">
        <v>571</v>
      </c>
      <c r="R130" t="s">
        <v>55</v>
      </c>
      <c r="S130" t="s">
        <v>1072</v>
      </c>
      <c r="T130" t="s">
        <v>1131</v>
      </c>
      <c r="U130" s="5"/>
      <c r="V130" s="5" t="s">
        <v>1132</v>
      </c>
      <c r="W130" s="5"/>
      <c r="X130" s="5"/>
      <c r="Y130" s="5"/>
      <c r="Z130" s="5"/>
      <c r="AA130" s="5"/>
      <c r="AB130" s="5"/>
      <c r="AC130" s="10" t="s">
        <v>603</v>
      </c>
      <c r="AD130" s="10"/>
      <c r="AE130" s="10"/>
      <c r="AF130" s="10"/>
      <c r="AG130" s="10"/>
      <c r="AH130" s="10"/>
      <c r="AI130" s="10" t="s">
        <v>604</v>
      </c>
      <c r="AJ130" s="5" t="s">
        <v>1133</v>
      </c>
      <c r="AK130" s="5"/>
      <c r="AL130" s="5"/>
      <c r="AM130" t="s">
        <v>1134</v>
      </c>
      <c r="AN130" t="s">
        <v>74</v>
      </c>
    </row>
    <row r="131" spans="1:40" ht="15" customHeight="1">
      <c r="A131" t="s">
        <v>1135</v>
      </c>
      <c r="B131" t="s">
        <v>1136</v>
      </c>
      <c r="C131" s="3">
        <v>45768</v>
      </c>
      <c r="D131" s="3">
        <v>45770</v>
      </c>
      <c r="E131" t="s">
        <v>47</v>
      </c>
      <c r="H131" t="s">
        <v>1137</v>
      </c>
      <c r="I131" t="s">
        <v>1138</v>
      </c>
      <c r="K131" t="s">
        <v>1139</v>
      </c>
      <c r="M131" t="s">
        <v>43</v>
      </c>
      <c r="N131" t="s">
        <v>1140</v>
      </c>
      <c r="O131" t="s">
        <v>591</v>
      </c>
      <c r="R131" t="s">
        <v>1141</v>
      </c>
      <c r="S131" t="s">
        <v>1142</v>
      </c>
      <c r="T131" t="s">
        <v>1143</v>
      </c>
      <c r="U131" s="5"/>
      <c r="V131" s="5" t="s">
        <v>1144</v>
      </c>
      <c r="W131" s="5"/>
      <c r="X131" s="5"/>
      <c r="Y131" s="5" t="s">
        <v>675</v>
      </c>
      <c r="Z131" s="5" t="s">
        <v>675</v>
      </c>
      <c r="AA131" s="5" t="s">
        <v>675</v>
      </c>
      <c r="AB131" s="5" t="s">
        <v>675</v>
      </c>
      <c r="AC131" s="10" t="s">
        <v>896</v>
      </c>
      <c r="AD131" s="10" t="s">
        <v>1145</v>
      </c>
      <c r="AE131" s="10" t="s">
        <v>1146</v>
      </c>
      <c r="AF131" s="10" t="s">
        <v>1147</v>
      </c>
      <c r="AG131" s="10"/>
      <c r="AH131" s="10"/>
      <c r="AI131" s="10" t="s">
        <v>1148</v>
      </c>
      <c r="AJ131" s="5" t="s">
        <v>1149</v>
      </c>
      <c r="AK131" s="5"/>
      <c r="AL131" s="5"/>
      <c r="AM131" t="s">
        <v>1150</v>
      </c>
      <c r="AN131" t="s">
        <v>74</v>
      </c>
    </row>
    <row r="132" spans="1:40" ht="15" customHeight="1">
      <c r="A132" t="s">
        <v>1151</v>
      </c>
      <c r="B132" t="s">
        <v>1152</v>
      </c>
      <c r="C132" s="3">
        <v>45769</v>
      </c>
      <c r="D132" s="3">
        <v>45769</v>
      </c>
      <c r="E132" t="s">
        <v>41</v>
      </c>
      <c r="H132" t="s">
        <v>850</v>
      </c>
      <c r="I132" t="s">
        <v>48</v>
      </c>
      <c r="K132" t="s">
        <v>48</v>
      </c>
      <c r="M132" t="s">
        <v>43</v>
      </c>
      <c r="N132" t="s">
        <v>599</v>
      </c>
      <c r="O132" t="s">
        <v>551</v>
      </c>
      <c r="R132" t="s">
        <v>182</v>
      </c>
      <c r="S132" t="s">
        <v>1153</v>
      </c>
      <c r="T132" t="s">
        <v>1154</v>
      </c>
      <c r="U132" s="5"/>
      <c r="V132" s="5" t="s">
        <v>1155</v>
      </c>
      <c r="W132" s="5"/>
      <c r="X132" s="5"/>
      <c r="Y132" s="5"/>
      <c r="Z132" s="5"/>
      <c r="AA132" s="5"/>
      <c r="AB132" s="5"/>
      <c r="AC132" s="10" t="s">
        <v>603</v>
      </c>
      <c r="AD132" s="10"/>
      <c r="AE132" s="10"/>
      <c r="AF132" s="10"/>
      <c r="AG132" s="10"/>
      <c r="AH132" s="10"/>
      <c r="AI132" s="10" t="s">
        <v>604</v>
      </c>
      <c r="AJ132" s="5" t="s">
        <v>1156</v>
      </c>
      <c r="AK132" s="5"/>
      <c r="AL132" s="5"/>
      <c r="AM132" t="s">
        <v>1157</v>
      </c>
      <c r="AN132" t="s">
        <v>84</v>
      </c>
    </row>
    <row r="133" spans="1:40" ht="15" customHeight="1">
      <c r="A133" t="s">
        <v>1158</v>
      </c>
      <c r="B133" t="s">
        <v>1159</v>
      </c>
      <c r="C133" s="3">
        <v>45769</v>
      </c>
      <c r="D133" s="3">
        <v>45770</v>
      </c>
      <c r="E133" t="s">
        <v>41</v>
      </c>
      <c r="H133" t="s">
        <v>779</v>
      </c>
      <c r="I133" t="s">
        <v>109</v>
      </c>
      <c r="K133" t="s">
        <v>109</v>
      </c>
      <c r="M133" t="s">
        <v>43</v>
      </c>
      <c r="N133" t="s">
        <v>599</v>
      </c>
      <c r="O133" t="s">
        <v>551</v>
      </c>
      <c r="R133" t="s">
        <v>1160</v>
      </c>
      <c r="S133" t="s">
        <v>1161</v>
      </c>
      <c r="T133" t="s">
        <v>1162</v>
      </c>
      <c r="U133" s="5"/>
      <c r="V133" s="5" t="s">
        <v>1163</v>
      </c>
      <c r="W133" s="5"/>
      <c r="X133" s="5"/>
      <c r="Y133" s="5"/>
      <c r="Z133" s="5"/>
      <c r="AA133" s="5"/>
      <c r="AB133" s="5"/>
      <c r="AC133" s="10" t="s">
        <v>603</v>
      </c>
      <c r="AD133" s="10"/>
      <c r="AE133" s="10"/>
      <c r="AF133" s="10"/>
      <c r="AG133" s="10"/>
      <c r="AH133" s="10"/>
      <c r="AI133" s="10" t="s">
        <v>604</v>
      </c>
      <c r="AJ133" s="5" t="s">
        <v>1164</v>
      </c>
      <c r="AK133" s="5"/>
      <c r="AL133" s="5"/>
      <c r="AM133" t="s">
        <v>1157</v>
      </c>
      <c r="AN133" t="s">
        <v>84</v>
      </c>
    </row>
    <row r="134" spans="1:40" ht="15" customHeight="1">
      <c r="A134" t="s">
        <v>1165</v>
      </c>
      <c r="B134" t="s">
        <v>1166</v>
      </c>
      <c r="C134" s="3">
        <v>45770</v>
      </c>
      <c r="D134" s="3">
        <v>45771</v>
      </c>
      <c r="E134" t="s">
        <v>41</v>
      </c>
      <c r="H134" t="s">
        <v>1167</v>
      </c>
      <c r="I134" t="s">
        <v>1168</v>
      </c>
      <c r="K134" t="s">
        <v>1169</v>
      </c>
      <c r="M134" t="s">
        <v>43</v>
      </c>
      <c r="N134" t="s">
        <v>590</v>
      </c>
      <c r="O134" t="s">
        <v>591</v>
      </c>
      <c r="R134" t="s">
        <v>1170</v>
      </c>
      <c r="S134" t="s">
        <v>1171</v>
      </c>
      <c r="T134" t="s">
        <v>1172</v>
      </c>
      <c r="U134" s="5"/>
      <c r="V134" s="5" t="s">
        <v>1173</v>
      </c>
      <c r="W134" s="5"/>
      <c r="X134" s="5"/>
      <c r="Y134" s="5"/>
      <c r="Z134" s="5"/>
      <c r="AA134" s="5"/>
      <c r="AB134" s="5"/>
      <c r="AC134" s="10" t="s">
        <v>603</v>
      </c>
      <c r="AD134" s="10"/>
      <c r="AE134" s="10"/>
      <c r="AF134" s="10"/>
      <c r="AG134" s="10"/>
      <c r="AH134" s="10"/>
      <c r="AI134" s="10" t="s">
        <v>604</v>
      </c>
      <c r="AJ134" s="5" t="s">
        <v>1174</v>
      </c>
      <c r="AK134" s="5"/>
      <c r="AL134" s="5"/>
      <c r="AM134" t="s">
        <v>1175</v>
      </c>
      <c r="AN134" t="s">
        <v>1176</v>
      </c>
    </row>
    <row r="135" spans="1:40" ht="15" customHeight="1">
      <c r="A135" t="s">
        <v>1177</v>
      </c>
      <c r="B135" t="s">
        <v>1178</v>
      </c>
      <c r="C135" s="3">
        <v>45771</v>
      </c>
      <c r="D135" s="3">
        <v>45776</v>
      </c>
      <c r="E135" t="s">
        <v>41</v>
      </c>
      <c r="H135" t="s">
        <v>904</v>
      </c>
      <c r="I135" t="s">
        <v>65</v>
      </c>
      <c r="K135" t="s">
        <v>1179</v>
      </c>
      <c r="M135" t="s">
        <v>43</v>
      </c>
      <c r="N135" t="s">
        <v>599</v>
      </c>
      <c r="O135" t="s">
        <v>1180</v>
      </c>
      <c r="R135" t="s">
        <v>1181</v>
      </c>
      <c r="S135" t="s">
        <v>1182</v>
      </c>
      <c r="T135" t="s">
        <v>1183</v>
      </c>
      <c r="U135" s="5"/>
      <c r="V135" s="5" t="s">
        <v>1184</v>
      </c>
      <c r="W135" s="5"/>
      <c r="X135" s="5"/>
      <c r="Y135" s="5"/>
      <c r="Z135" s="5"/>
      <c r="AA135" s="5"/>
      <c r="AB135" s="5"/>
      <c r="AC135" s="10" t="s">
        <v>603</v>
      </c>
      <c r="AD135" s="10"/>
      <c r="AE135" s="10"/>
      <c r="AF135" s="10"/>
      <c r="AG135" s="10"/>
      <c r="AH135" s="10"/>
      <c r="AI135" s="10" t="s">
        <v>604</v>
      </c>
      <c r="AJ135" s="5" t="s">
        <v>1185</v>
      </c>
      <c r="AK135" s="5"/>
      <c r="AL135" s="5"/>
      <c r="AM135" t="s">
        <v>1186</v>
      </c>
      <c r="AN135" t="s">
        <v>84</v>
      </c>
    </row>
    <row r="136" spans="1:40" ht="15" customHeight="1">
      <c r="A136" t="s">
        <v>1187</v>
      </c>
      <c r="B136" t="s">
        <v>1188</v>
      </c>
      <c r="C136" s="3">
        <v>45772</v>
      </c>
      <c r="D136" s="3">
        <v>45783</v>
      </c>
      <c r="E136" t="s">
        <v>1189</v>
      </c>
      <c r="H136" t="s">
        <v>779</v>
      </c>
      <c r="I136" t="s">
        <v>109</v>
      </c>
      <c r="K136" t="s">
        <v>109</v>
      </c>
      <c r="M136" t="s">
        <v>43</v>
      </c>
      <c r="N136" t="s">
        <v>874</v>
      </c>
      <c r="O136" t="s">
        <v>551</v>
      </c>
      <c r="R136" t="s">
        <v>780</v>
      </c>
      <c r="S136" t="s">
        <v>1161</v>
      </c>
      <c r="T136" t="s">
        <v>1190</v>
      </c>
      <c r="U136" s="5"/>
      <c r="V136" s="5" t="s">
        <v>1191</v>
      </c>
      <c r="W136" s="5"/>
      <c r="X136" s="5"/>
      <c r="Y136" s="5"/>
      <c r="Z136" s="5"/>
      <c r="AA136" s="5"/>
      <c r="AB136" s="5"/>
      <c r="AC136" s="10" t="s">
        <v>603</v>
      </c>
      <c r="AD136" s="10"/>
      <c r="AE136" s="10"/>
      <c r="AF136" s="10"/>
      <c r="AG136" s="10"/>
      <c r="AH136" s="10"/>
      <c r="AI136" s="10" t="s">
        <v>604</v>
      </c>
      <c r="AJ136" s="5" t="s">
        <v>1192</v>
      </c>
      <c r="AK136" s="5"/>
      <c r="AL136" s="5"/>
      <c r="AM136" t="s">
        <v>1193</v>
      </c>
      <c r="AN136" t="s">
        <v>84</v>
      </c>
    </row>
    <row r="137" spans="1:40" ht="15" customHeight="1">
      <c r="A137" t="s">
        <v>1194</v>
      </c>
      <c r="B137" t="s">
        <v>1195</v>
      </c>
      <c r="C137" s="3">
        <v>45772</v>
      </c>
      <c r="D137" s="3">
        <v>45776</v>
      </c>
      <c r="E137" t="s">
        <v>1196</v>
      </c>
      <c r="H137" t="s">
        <v>1197</v>
      </c>
      <c r="I137" t="s">
        <v>141</v>
      </c>
      <c r="K137" t="s">
        <v>1198</v>
      </c>
      <c r="M137" t="s">
        <v>43</v>
      </c>
      <c r="N137" t="s">
        <v>609</v>
      </c>
      <c r="O137" t="s">
        <v>982</v>
      </c>
      <c r="R137" t="s">
        <v>830</v>
      </c>
      <c r="S137" t="s">
        <v>1199</v>
      </c>
      <c r="T137" t="s">
        <v>1200</v>
      </c>
      <c r="U137" s="5"/>
      <c r="V137" s="5" t="s">
        <v>1201</v>
      </c>
      <c r="W137" s="5"/>
      <c r="X137" s="5"/>
      <c r="Y137" s="5"/>
      <c r="Z137" s="5"/>
      <c r="AA137" s="5"/>
      <c r="AB137" s="5"/>
      <c r="AC137" s="10" t="s">
        <v>603</v>
      </c>
      <c r="AD137" s="10"/>
      <c r="AE137" s="10"/>
      <c r="AF137" s="10"/>
      <c r="AG137" s="10"/>
      <c r="AH137" s="10"/>
      <c r="AI137" s="10" t="s">
        <v>604</v>
      </c>
      <c r="AJ137" s="5" t="s">
        <v>1202</v>
      </c>
      <c r="AK137" s="5"/>
      <c r="AL137" s="5"/>
      <c r="AM137" t="s">
        <v>1203</v>
      </c>
      <c r="AN137" t="s">
        <v>84</v>
      </c>
    </row>
    <row r="138" spans="1:40" ht="15" customHeight="1">
      <c r="A138" t="s">
        <v>1204</v>
      </c>
      <c r="B138" t="s">
        <v>1205</v>
      </c>
      <c r="C138" s="3">
        <v>45772</v>
      </c>
      <c r="D138" s="3">
        <v>45783</v>
      </c>
      <c r="E138" t="s">
        <v>1196</v>
      </c>
      <c r="H138" t="s">
        <v>779</v>
      </c>
      <c r="I138" t="s">
        <v>109</v>
      </c>
      <c r="K138" t="s">
        <v>109</v>
      </c>
      <c r="M138" t="s">
        <v>43</v>
      </c>
      <c r="N138" t="s">
        <v>599</v>
      </c>
      <c r="O138" t="s">
        <v>551</v>
      </c>
      <c r="R138" t="s">
        <v>1206</v>
      </c>
      <c r="S138" t="s">
        <v>1161</v>
      </c>
      <c r="T138" t="s">
        <v>1207</v>
      </c>
      <c r="U138" s="5"/>
      <c r="V138" s="5" t="s">
        <v>1208</v>
      </c>
      <c r="W138" s="5"/>
      <c r="X138" s="5"/>
      <c r="Y138" s="5"/>
      <c r="Z138" s="5"/>
      <c r="AA138" s="5"/>
      <c r="AB138" s="5"/>
      <c r="AC138" s="10" t="s">
        <v>603</v>
      </c>
      <c r="AD138" s="10"/>
      <c r="AE138" s="10"/>
      <c r="AF138" s="10"/>
      <c r="AG138" s="10"/>
      <c r="AH138" s="10"/>
      <c r="AI138" s="10" t="s">
        <v>604</v>
      </c>
      <c r="AJ138" s="5" t="s">
        <v>1192</v>
      </c>
      <c r="AK138" s="5"/>
      <c r="AL138" s="5"/>
      <c r="AM138" t="s">
        <v>1193</v>
      </c>
      <c r="AN138" t="s">
        <v>84</v>
      </c>
    </row>
    <row r="139" spans="1:40" ht="15" customHeight="1">
      <c r="A139" t="s">
        <v>1209</v>
      </c>
      <c r="B139" t="s">
        <v>1210</v>
      </c>
      <c r="C139" s="3">
        <v>45776</v>
      </c>
      <c r="D139" s="3">
        <v>45776</v>
      </c>
      <c r="E139" t="s">
        <v>47</v>
      </c>
      <c r="H139" t="s">
        <v>1211</v>
      </c>
      <c r="I139" t="s">
        <v>1212</v>
      </c>
      <c r="K139" t="s">
        <v>352</v>
      </c>
      <c r="M139" t="s">
        <v>43</v>
      </c>
      <c r="N139" t="s">
        <v>632</v>
      </c>
      <c r="O139" t="s">
        <v>1213</v>
      </c>
      <c r="R139" t="s">
        <v>563</v>
      </c>
      <c r="S139" t="s">
        <v>1214</v>
      </c>
      <c r="T139" t="s">
        <v>1215</v>
      </c>
      <c r="U139" s="5"/>
      <c r="V139" s="5" t="s">
        <v>1216</v>
      </c>
      <c r="W139" s="5"/>
      <c r="X139" s="5"/>
      <c r="Y139" s="5"/>
      <c r="Z139" s="5"/>
      <c r="AA139" s="5"/>
      <c r="AB139" s="5"/>
      <c r="AC139" s="10" t="s">
        <v>603</v>
      </c>
      <c r="AD139" s="10"/>
      <c r="AE139" s="10"/>
      <c r="AF139" s="10"/>
      <c r="AG139" s="10"/>
      <c r="AH139" s="10"/>
      <c r="AI139" s="10" t="s">
        <v>604</v>
      </c>
      <c r="AJ139" s="5" t="s">
        <v>1217</v>
      </c>
      <c r="AK139" s="5"/>
      <c r="AL139" s="5"/>
      <c r="AM139" t="s">
        <v>1218</v>
      </c>
      <c r="AN139" t="s">
        <v>74</v>
      </c>
    </row>
    <row r="140" spans="1:40" ht="15" customHeight="1">
      <c r="A140" t="s">
        <v>1219</v>
      </c>
      <c r="B140" t="s">
        <v>1220</v>
      </c>
      <c r="C140" s="3">
        <v>45776</v>
      </c>
      <c r="D140" s="3">
        <v>45776</v>
      </c>
      <c r="E140" t="s">
        <v>41</v>
      </c>
      <c r="H140" t="s">
        <v>904</v>
      </c>
      <c r="I140" t="s">
        <v>65</v>
      </c>
      <c r="K140" t="s">
        <v>1179</v>
      </c>
      <c r="M140" t="s">
        <v>43</v>
      </c>
      <c r="N140" t="s">
        <v>599</v>
      </c>
      <c r="O140" t="s">
        <v>1221</v>
      </c>
      <c r="R140" t="s">
        <v>1222</v>
      </c>
      <c r="S140" t="s">
        <v>1182</v>
      </c>
      <c r="T140" t="s">
        <v>1223</v>
      </c>
      <c r="U140" s="5"/>
      <c r="V140" s="5" t="s">
        <v>1224</v>
      </c>
      <c r="W140" s="5"/>
      <c r="X140" s="5"/>
      <c r="Y140" s="5"/>
      <c r="Z140" s="5"/>
      <c r="AA140" s="5"/>
      <c r="AB140" s="5"/>
      <c r="AC140" s="10" t="s">
        <v>603</v>
      </c>
      <c r="AD140" s="10"/>
      <c r="AE140" s="10"/>
      <c r="AF140" s="10"/>
      <c r="AG140" s="10"/>
      <c r="AH140" s="10"/>
      <c r="AI140" s="10" t="s">
        <v>604</v>
      </c>
      <c r="AJ140" s="5" t="s">
        <v>1185</v>
      </c>
      <c r="AK140" s="5"/>
      <c r="AL140" s="5"/>
      <c r="AM140" t="s">
        <v>1225</v>
      </c>
      <c r="AN140" t="s">
        <v>84</v>
      </c>
    </row>
    <row r="141" spans="1:40" ht="15" customHeight="1">
      <c r="A141" t="s">
        <v>1226</v>
      </c>
      <c r="B141" t="s">
        <v>1227</v>
      </c>
      <c r="C141" s="3">
        <v>45777</v>
      </c>
      <c r="D141" s="3">
        <v>45783</v>
      </c>
      <c r="E141" t="s">
        <v>41</v>
      </c>
      <c r="H141" t="s">
        <v>787</v>
      </c>
      <c r="I141" t="s">
        <v>252</v>
      </c>
      <c r="K141" t="s">
        <v>86</v>
      </c>
      <c r="M141" t="s">
        <v>43</v>
      </c>
      <c r="N141" t="s">
        <v>609</v>
      </c>
      <c r="O141" t="s">
        <v>982</v>
      </c>
      <c r="R141" t="s">
        <v>488</v>
      </c>
      <c r="S141" t="s">
        <v>1228</v>
      </c>
      <c r="T141" t="s">
        <v>1229</v>
      </c>
      <c r="U141" s="5"/>
      <c r="V141" s="5" t="s">
        <v>1230</v>
      </c>
      <c r="W141" s="5"/>
      <c r="X141" s="5"/>
      <c r="Y141" s="5"/>
      <c r="Z141" s="5"/>
      <c r="AA141" s="5"/>
      <c r="AB141" s="5"/>
      <c r="AC141" s="10" t="s">
        <v>603</v>
      </c>
      <c r="AD141" s="10"/>
      <c r="AE141" s="10"/>
      <c r="AF141" s="10"/>
      <c r="AG141" s="10"/>
      <c r="AH141" s="10"/>
      <c r="AI141" s="10" t="s">
        <v>604</v>
      </c>
      <c r="AJ141" s="5" t="s">
        <v>1231</v>
      </c>
      <c r="AK141" s="5"/>
      <c r="AL141" s="5"/>
      <c r="AM141" t="s">
        <v>516</v>
      </c>
      <c r="AN141" t="s">
        <v>84</v>
      </c>
    </row>
    <row r="142" spans="1:40" ht="15" customHeight="1">
      <c r="A142" t="s">
        <v>1232</v>
      </c>
      <c r="B142" t="s">
        <v>1233</v>
      </c>
      <c r="C142" s="3">
        <v>45777</v>
      </c>
      <c r="D142" s="3">
        <v>45777</v>
      </c>
      <c r="E142" t="s">
        <v>41</v>
      </c>
      <c r="H142" t="s">
        <v>1234</v>
      </c>
      <c r="I142" t="s">
        <v>352</v>
      </c>
      <c r="K142" t="s">
        <v>352</v>
      </c>
      <c r="M142" t="s">
        <v>43</v>
      </c>
      <c r="N142" t="s">
        <v>632</v>
      </c>
      <c r="O142" t="s">
        <v>982</v>
      </c>
      <c r="R142" t="s">
        <v>1235</v>
      </c>
      <c r="S142" t="s">
        <v>1236</v>
      </c>
      <c r="T142" t="s">
        <v>1237</v>
      </c>
      <c r="U142" s="5"/>
      <c r="V142" s="5" t="s">
        <v>1238</v>
      </c>
      <c r="W142" s="5"/>
      <c r="X142" s="5"/>
      <c r="Y142" s="5"/>
      <c r="Z142" s="5"/>
      <c r="AA142" s="5"/>
      <c r="AB142" s="5"/>
      <c r="AC142" s="10" t="s">
        <v>603</v>
      </c>
      <c r="AD142" s="10"/>
      <c r="AE142" s="10"/>
      <c r="AF142" s="10"/>
      <c r="AG142" s="10"/>
      <c r="AH142" s="10"/>
      <c r="AI142" s="10" t="s">
        <v>604</v>
      </c>
      <c r="AJ142" s="5" t="s">
        <v>317</v>
      </c>
      <c r="AK142" s="5"/>
      <c r="AL142" s="5"/>
      <c r="AM142" t="s">
        <v>317</v>
      </c>
      <c r="AN142" t="s">
        <v>84</v>
      </c>
    </row>
    <row r="143" spans="1:40" ht="15" customHeight="1">
      <c r="A143" t="s">
        <v>1239</v>
      </c>
      <c r="B143" t="s">
        <v>1240</v>
      </c>
      <c r="C143" s="3">
        <v>45777</v>
      </c>
      <c r="D143" s="3">
        <v>45783</v>
      </c>
      <c r="E143" t="s">
        <v>41</v>
      </c>
      <c r="H143" t="s">
        <v>850</v>
      </c>
      <c r="I143" t="s">
        <v>48</v>
      </c>
      <c r="K143" t="s">
        <v>109</v>
      </c>
      <c r="M143" t="s">
        <v>43</v>
      </c>
      <c r="N143" t="s">
        <v>599</v>
      </c>
      <c r="O143" t="s">
        <v>551</v>
      </c>
      <c r="R143" t="s">
        <v>55</v>
      </c>
      <c r="S143" t="s">
        <v>1241</v>
      </c>
      <c r="T143" t="s">
        <v>1242</v>
      </c>
      <c r="U143" s="5"/>
      <c r="V143" s="5" t="s">
        <v>1243</v>
      </c>
      <c r="W143" s="5"/>
      <c r="X143" s="5"/>
      <c r="Y143" s="5"/>
      <c r="Z143" s="5"/>
      <c r="AA143" s="5"/>
      <c r="AB143" s="5"/>
      <c r="AC143" s="10" t="s">
        <v>603</v>
      </c>
      <c r="AD143" s="10"/>
      <c r="AE143" s="10"/>
      <c r="AF143" s="10"/>
      <c r="AG143" s="10"/>
      <c r="AH143" s="10"/>
      <c r="AI143" s="10" t="s">
        <v>604</v>
      </c>
      <c r="AJ143" s="5" t="s">
        <v>1244</v>
      </c>
      <c r="AK143" s="5"/>
      <c r="AL143" s="5"/>
      <c r="AM143" t="s">
        <v>1193</v>
      </c>
      <c r="AN143" t="s">
        <v>84</v>
      </c>
    </row>
    <row r="144" spans="1:40" ht="15" customHeight="1">
      <c r="A144" t="s">
        <v>1245</v>
      </c>
      <c r="B144" t="s">
        <v>1246</v>
      </c>
      <c r="C144" s="3">
        <v>45782</v>
      </c>
      <c r="D144" s="3">
        <v>45786</v>
      </c>
      <c r="E144" t="s">
        <v>1189</v>
      </c>
      <c r="H144" t="s">
        <v>1247</v>
      </c>
      <c r="I144" t="s">
        <v>1248</v>
      </c>
      <c r="K144" t="s">
        <v>1249</v>
      </c>
      <c r="M144" t="s">
        <v>43</v>
      </c>
      <c r="N144" t="s">
        <v>609</v>
      </c>
      <c r="O144" t="s">
        <v>1250</v>
      </c>
      <c r="R144" t="s">
        <v>320</v>
      </c>
      <c r="S144" t="s">
        <v>1251</v>
      </c>
      <c r="T144" t="s">
        <v>1252</v>
      </c>
      <c r="U144" s="5"/>
      <c r="V144" s="5" t="s">
        <v>1253</v>
      </c>
      <c r="W144" s="5"/>
      <c r="X144" s="5"/>
      <c r="Y144" s="5"/>
      <c r="Z144" s="5"/>
      <c r="AA144" s="5"/>
      <c r="AB144" s="5"/>
      <c r="AC144" s="10" t="s">
        <v>603</v>
      </c>
      <c r="AD144" s="10"/>
      <c r="AE144" s="10"/>
      <c r="AF144" s="10"/>
      <c r="AG144" s="10"/>
      <c r="AH144" s="10"/>
      <c r="AI144" s="10" t="s">
        <v>604</v>
      </c>
      <c r="AJ144" s="5" t="s">
        <v>1254</v>
      </c>
      <c r="AK144" s="5"/>
      <c r="AL144" s="5"/>
      <c r="AM144" t="s">
        <v>1255</v>
      </c>
      <c r="AN144" t="s">
        <v>74</v>
      </c>
    </row>
    <row r="145" spans="1:40" ht="15" customHeight="1">
      <c r="A145" t="s">
        <v>1256</v>
      </c>
      <c r="B145" t="s">
        <v>1257</v>
      </c>
      <c r="C145" s="3">
        <v>45782</v>
      </c>
      <c r="D145" s="3">
        <v>45783</v>
      </c>
      <c r="E145" t="s">
        <v>1071</v>
      </c>
      <c r="H145" t="s">
        <v>873</v>
      </c>
      <c r="I145" t="s">
        <v>159</v>
      </c>
      <c r="K145" t="s">
        <v>1258</v>
      </c>
      <c r="M145" t="s">
        <v>43</v>
      </c>
      <c r="N145" t="s">
        <v>609</v>
      </c>
      <c r="O145" t="s">
        <v>670</v>
      </c>
      <c r="R145" t="s">
        <v>830</v>
      </c>
      <c r="S145" t="s">
        <v>1259</v>
      </c>
      <c r="T145" t="s">
        <v>1260</v>
      </c>
      <c r="U145" s="5"/>
      <c r="V145" s="5" t="s">
        <v>1261</v>
      </c>
      <c r="W145" s="5"/>
      <c r="X145" s="5"/>
      <c r="Y145" s="5"/>
      <c r="Z145" s="5"/>
      <c r="AA145" s="5"/>
      <c r="AB145" s="5"/>
      <c r="AC145" s="10" t="s">
        <v>603</v>
      </c>
      <c r="AD145" s="10"/>
      <c r="AE145" s="10"/>
      <c r="AF145" s="10"/>
      <c r="AG145" s="10"/>
      <c r="AH145" s="10"/>
      <c r="AI145" s="10" t="s">
        <v>604</v>
      </c>
      <c r="AJ145" s="5" t="s">
        <v>1262</v>
      </c>
      <c r="AK145" s="5"/>
      <c r="AL145" s="5"/>
      <c r="AM145" t="s">
        <v>1263</v>
      </c>
      <c r="AN145" t="s">
        <v>84</v>
      </c>
    </row>
    <row r="146" spans="1:40" ht="15" customHeight="1">
      <c r="A146" t="s">
        <v>1264</v>
      </c>
      <c r="B146" t="s">
        <v>1265</v>
      </c>
      <c r="C146" s="3">
        <v>45783</v>
      </c>
      <c r="D146" s="3">
        <v>45799</v>
      </c>
      <c r="E146" t="s">
        <v>47</v>
      </c>
      <c r="H146" t="s">
        <v>850</v>
      </c>
      <c r="I146" t="s">
        <v>48</v>
      </c>
      <c r="K146" t="s">
        <v>48</v>
      </c>
      <c r="M146" t="s">
        <v>43</v>
      </c>
      <c r="N146" t="s">
        <v>599</v>
      </c>
      <c r="O146" t="s">
        <v>571</v>
      </c>
      <c r="R146" t="s">
        <v>270</v>
      </c>
      <c r="S146" t="s">
        <v>1266</v>
      </c>
      <c r="T146" t="s">
        <v>1267</v>
      </c>
      <c r="U146" s="5"/>
      <c r="V146" s="5" t="s">
        <v>1268</v>
      </c>
      <c r="W146" s="5"/>
      <c r="X146" s="5"/>
      <c r="Y146" s="5"/>
      <c r="Z146" s="5"/>
      <c r="AA146" s="5"/>
      <c r="AB146" s="5"/>
      <c r="AC146" s="10" t="s">
        <v>603</v>
      </c>
      <c r="AD146" s="10"/>
      <c r="AE146" s="10"/>
      <c r="AF146" s="10"/>
      <c r="AG146" s="10"/>
      <c r="AH146" s="10"/>
      <c r="AI146" s="10" t="s">
        <v>604</v>
      </c>
      <c r="AJ146" s="5" t="s">
        <v>1269</v>
      </c>
      <c r="AK146" s="5"/>
      <c r="AL146" s="5"/>
      <c r="AM146" t="s">
        <v>1270</v>
      </c>
      <c r="AN146" t="s">
        <v>1176</v>
      </c>
    </row>
    <row r="147" spans="1:40" ht="15" customHeight="1">
      <c r="A147" t="s">
        <v>1271</v>
      </c>
      <c r="B147" t="s">
        <v>1272</v>
      </c>
      <c r="C147" s="3">
        <v>45784</v>
      </c>
      <c r="D147" s="3">
        <v>45786</v>
      </c>
      <c r="E147" t="s">
        <v>47</v>
      </c>
      <c r="H147" t="s">
        <v>1273</v>
      </c>
      <c r="I147" t="s">
        <v>1274</v>
      </c>
      <c r="K147" t="s">
        <v>1275</v>
      </c>
      <c r="M147" t="s">
        <v>43</v>
      </c>
      <c r="N147" t="s">
        <v>609</v>
      </c>
      <c r="O147" t="s">
        <v>1276</v>
      </c>
      <c r="R147" t="s">
        <v>320</v>
      </c>
      <c r="S147" t="s">
        <v>1277</v>
      </c>
      <c r="T147" t="s">
        <v>1278</v>
      </c>
      <c r="U147" s="5"/>
      <c r="V147" s="5" t="s">
        <v>1279</v>
      </c>
      <c r="W147" s="5"/>
      <c r="X147" s="5"/>
      <c r="Y147" s="5"/>
      <c r="Z147" s="5"/>
      <c r="AA147" s="5"/>
      <c r="AB147" s="5"/>
      <c r="AC147" s="10" t="s">
        <v>603</v>
      </c>
      <c r="AD147" s="10" t="s">
        <v>1274</v>
      </c>
      <c r="AE147" s="10" t="s">
        <v>1280</v>
      </c>
      <c r="AF147" s="10" t="s">
        <v>1281</v>
      </c>
      <c r="AG147" s="10"/>
      <c r="AH147" s="10"/>
      <c r="AI147" s="10" t="s">
        <v>1282</v>
      </c>
      <c r="AJ147" s="5" t="s">
        <v>1283</v>
      </c>
      <c r="AK147" s="5"/>
      <c r="AL147" s="5"/>
      <c r="AM147" t="s">
        <v>1284</v>
      </c>
      <c r="AN147" t="s">
        <v>74</v>
      </c>
    </row>
    <row r="148" spans="1:40" ht="15" customHeight="1">
      <c r="A148" t="s">
        <v>1285</v>
      </c>
      <c r="B148" t="s">
        <v>1286</v>
      </c>
      <c r="C148" s="3">
        <v>45785</v>
      </c>
      <c r="D148" s="3">
        <v>45792</v>
      </c>
      <c r="E148" t="s">
        <v>1287</v>
      </c>
      <c r="H148" t="s">
        <v>884</v>
      </c>
      <c r="I148" t="s">
        <v>181</v>
      </c>
      <c r="K148" t="s">
        <v>181</v>
      </c>
      <c r="M148" t="s">
        <v>43</v>
      </c>
      <c r="N148" t="s">
        <v>599</v>
      </c>
      <c r="O148" t="s">
        <v>571</v>
      </c>
      <c r="R148" t="s">
        <v>173</v>
      </c>
      <c r="S148" t="s">
        <v>1288</v>
      </c>
      <c r="T148" t="s">
        <v>1289</v>
      </c>
      <c r="U148" s="5"/>
      <c r="V148" s="5" t="s">
        <v>1290</v>
      </c>
      <c r="W148" s="5"/>
      <c r="X148" s="5"/>
      <c r="Y148" s="5"/>
      <c r="Z148" s="5"/>
      <c r="AA148" s="5"/>
      <c r="AB148" s="5"/>
      <c r="AC148" s="10" t="s">
        <v>603</v>
      </c>
      <c r="AD148" s="10"/>
      <c r="AE148" s="10"/>
      <c r="AF148" s="10"/>
      <c r="AG148" s="10"/>
      <c r="AH148" s="10"/>
      <c r="AI148" s="10" t="s">
        <v>604</v>
      </c>
      <c r="AJ148" s="5" t="s">
        <v>1291</v>
      </c>
      <c r="AK148" s="5"/>
      <c r="AL148" s="5"/>
      <c r="AM148" t="s">
        <v>1270</v>
      </c>
      <c r="AN148" t="s">
        <v>1176</v>
      </c>
    </row>
    <row r="149" spans="1:40" ht="15" customHeight="1">
      <c r="A149" t="s">
        <v>1292</v>
      </c>
      <c r="B149" t="s">
        <v>1293</v>
      </c>
      <c r="C149" s="3">
        <v>45790</v>
      </c>
      <c r="D149" s="3">
        <v>45798</v>
      </c>
      <c r="E149" t="s">
        <v>1196</v>
      </c>
      <c r="H149" t="s">
        <v>787</v>
      </c>
      <c r="I149" t="s">
        <v>252</v>
      </c>
      <c r="K149" t="s">
        <v>252</v>
      </c>
      <c r="M149" t="s">
        <v>43</v>
      </c>
      <c r="N149" t="s">
        <v>609</v>
      </c>
      <c r="O149" t="s">
        <v>712</v>
      </c>
      <c r="R149" t="s">
        <v>830</v>
      </c>
      <c r="S149" t="s">
        <v>1294</v>
      </c>
      <c r="T149" t="s">
        <v>1295</v>
      </c>
      <c r="U149" s="5"/>
      <c r="V149" s="5" t="s">
        <v>1296</v>
      </c>
      <c r="W149" s="5"/>
      <c r="X149" s="5"/>
      <c r="Y149" s="5"/>
      <c r="Z149" s="5"/>
      <c r="AA149" s="5"/>
      <c r="AB149" s="5"/>
      <c r="AC149" s="10" t="s">
        <v>603</v>
      </c>
      <c r="AD149" s="10"/>
      <c r="AE149" s="10"/>
      <c r="AF149" s="10"/>
      <c r="AG149" s="10"/>
      <c r="AH149" s="10"/>
      <c r="AI149" s="10" t="s">
        <v>604</v>
      </c>
      <c r="AJ149" s="5" t="s">
        <v>1297</v>
      </c>
      <c r="AK149" s="5"/>
      <c r="AL149" s="5"/>
      <c r="AM149" t="s">
        <v>1298</v>
      </c>
      <c r="AN149" t="s">
        <v>84</v>
      </c>
    </row>
    <row r="150" spans="1:40" ht="15" customHeight="1">
      <c r="A150" t="s">
        <v>1299</v>
      </c>
      <c r="B150" t="s">
        <v>1300</v>
      </c>
      <c r="C150" s="3">
        <v>45790</v>
      </c>
      <c r="D150" s="3">
        <v>45792</v>
      </c>
      <c r="E150" t="s">
        <v>47</v>
      </c>
      <c r="H150" t="s">
        <v>884</v>
      </c>
      <c r="I150" t="s">
        <v>181</v>
      </c>
      <c r="K150" t="s">
        <v>181</v>
      </c>
      <c r="M150" t="s">
        <v>43</v>
      </c>
      <c r="N150" t="s">
        <v>599</v>
      </c>
      <c r="O150" t="s">
        <v>571</v>
      </c>
      <c r="R150" t="s">
        <v>55</v>
      </c>
      <c r="S150" t="s">
        <v>1301</v>
      </c>
      <c r="T150" t="s">
        <v>1302</v>
      </c>
      <c r="U150" s="5"/>
      <c r="V150" s="5" t="s">
        <v>1303</v>
      </c>
      <c r="W150" s="5"/>
      <c r="X150" s="5"/>
      <c r="Y150" s="5"/>
      <c r="Z150" s="5"/>
      <c r="AA150" s="5"/>
      <c r="AB150" s="5"/>
      <c r="AC150" s="10" t="s">
        <v>603</v>
      </c>
      <c r="AD150" s="10"/>
      <c r="AE150" s="10"/>
      <c r="AF150" s="10"/>
      <c r="AG150" s="10"/>
      <c r="AH150" s="10"/>
      <c r="AI150" s="10" t="s">
        <v>604</v>
      </c>
      <c r="AJ150" s="5" t="s">
        <v>1304</v>
      </c>
      <c r="AK150" s="5"/>
      <c r="AL150" s="5"/>
      <c r="AM150" t="s">
        <v>1157</v>
      </c>
      <c r="AN150" t="s">
        <v>1176</v>
      </c>
    </row>
    <row r="151" spans="1:40" ht="15" customHeight="1">
      <c r="A151" t="s">
        <v>1305</v>
      </c>
      <c r="B151" t="s">
        <v>1306</v>
      </c>
      <c r="C151" s="3">
        <v>45791</v>
      </c>
      <c r="D151" s="3">
        <v>45792</v>
      </c>
      <c r="E151" t="s">
        <v>47</v>
      </c>
      <c r="H151" t="s">
        <v>1307</v>
      </c>
      <c r="I151" t="s">
        <v>1308</v>
      </c>
      <c r="K151" t="s">
        <v>1309</v>
      </c>
      <c r="M151" t="s">
        <v>43</v>
      </c>
      <c r="N151" t="s">
        <v>590</v>
      </c>
      <c r="O151" t="s">
        <v>1310</v>
      </c>
      <c r="R151" t="s">
        <v>1311</v>
      </c>
      <c r="S151" t="s">
        <v>1312</v>
      </c>
      <c r="T151" t="s">
        <v>1313</v>
      </c>
      <c r="U151" s="5"/>
      <c r="V151" s="5" t="s">
        <v>1314</v>
      </c>
      <c r="W151" s="5"/>
      <c r="X151" s="5"/>
      <c r="Y151" s="5"/>
      <c r="Z151" s="5"/>
      <c r="AA151" s="5"/>
      <c r="AB151" s="5"/>
      <c r="AC151" s="10" t="s">
        <v>603</v>
      </c>
      <c r="AD151" s="10"/>
      <c r="AE151" s="10"/>
      <c r="AF151" s="10"/>
      <c r="AG151" s="10"/>
      <c r="AH151" s="10"/>
      <c r="AI151" s="10" t="s">
        <v>604</v>
      </c>
      <c r="AJ151" s="5" t="s">
        <v>1315</v>
      </c>
      <c r="AK151" s="5"/>
      <c r="AL151" s="5"/>
      <c r="AM151" t="s">
        <v>1316</v>
      </c>
      <c r="AN151" t="s">
        <v>84</v>
      </c>
    </row>
    <row r="152" spans="1:40" ht="15" customHeight="1">
      <c r="A152" t="s">
        <v>1317</v>
      </c>
      <c r="B152" t="s">
        <v>1318</v>
      </c>
      <c r="C152" s="3">
        <v>45792</v>
      </c>
      <c r="D152" s="3">
        <v>45799</v>
      </c>
      <c r="E152" t="s">
        <v>47</v>
      </c>
      <c r="H152" t="s">
        <v>779</v>
      </c>
      <c r="I152" t="s">
        <v>109</v>
      </c>
      <c r="K152" t="s">
        <v>109</v>
      </c>
      <c r="M152" t="s">
        <v>43</v>
      </c>
      <c r="N152" t="s">
        <v>599</v>
      </c>
      <c r="O152" t="s">
        <v>571</v>
      </c>
      <c r="R152" t="s">
        <v>852</v>
      </c>
      <c r="S152" t="s">
        <v>1319</v>
      </c>
      <c r="T152" t="s">
        <v>1320</v>
      </c>
      <c r="U152" s="5"/>
      <c r="V152" s="5" t="s">
        <v>1321</v>
      </c>
      <c r="W152" s="5"/>
      <c r="X152" s="5"/>
      <c r="Y152" s="5"/>
      <c r="Z152" s="5"/>
      <c r="AA152" s="5"/>
      <c r="AB152" s="5"/>
      <c r="AC152" s="10" t="s">
        <v>603</v>
      </c>
      <c r="AD152" s="10"/>
      <c r="AE152" s="10"/>
      <c r="AF152" s="10"/>
      <c r="AG152" s="10"/>
      <c r="AH152" s="10"/>
      <c r="AI152" s="10" t="s">
        <v>604</v>
      </c>
      <c r="AJ152" s="5" t="s">
        <v>1322</v>
      </c>
      <c r="AK152" s="5"/>
      <c r="AL152" s="5"/>
      <c r="AM152" t="s">
        <v>1270</v>
      </c>
      <c r="AN152" t="s">
        <v>1176</v>
      </c>
    </row>
    <row r="153" spans="1:40" ht="15" customHeight="1">
      <c r="A153" t="s">
        <v>1323</v>
      </c>
      <c r="B153" t="s">
        <v>1324</v>
      </c>
      <c r="C153" s="3">
        <v>45796</v>
      </c>
      <c r="D153" s="3">
        <v>45798</v>
      </c>
      <c r="E153" t="s">
        <v>47</v>
      </c>
      <c r="H153" t="s">
        <v>873</v>
      </c>
      <c r="I153" t="s">
        <v>159</v>
      </c>
      <c r="K153" t="s">
        <v>1325</v>
      </c>
      <c r="M153" t="s">
        <v>43</v>
      </c>
      <c r="N153" t="s">
        <v>632</v>
      </c>
      <c r="O153" t="s">
        <v>670</v>
      </c>
      <c r="R153" t="s">
        <v>1326</v>
      </c>
      <c r="S153" t="s">
        <v>1327</v>
      </c>
      <c r="T153" t="s">
        <v>1328</v>
      </c>
      <c r="U153" s="5"/>
      <c r="V153" s="5" t="s">
        <v>1329</v>
      </c>
      <c r="W153" s="5"/>
      <c r="X153" s="5"/>
      <c r="Y153" s="5"/>
      <c r="Z153" s="5"/>
      <c r="AA153" s="5"/>
      <c r="AB153" s="5"/>
      <c r="AC153" s="10" t="s">
        <v>603</v>
      </c>
      <c r="AD153" s="10"/>
      <c r="AE153" s="10"/>
      <c r="AF153" s="10"/>
      <c r="AG153" s="10"/>
      <c r="AH153" s="10"/>
      <c r="AI153" s="10" t="s">
        <v>604</v>
      </c>
      <c r="AJ153" s="5" t="s">
        <v>1262</v>
      </c>
      <c r="AK153" s="5"/>
      <c r="AL153" s="5"/>
      <c r="AM153" t="s">
        <v>1330</v>
      </c>
      <c r="AN153" t="s">
        <v>84</v>
      </c>
    </row>
    <row r="154" spans="1:40" ht="15" customHeight="1">
      <c r="A154" t="s">
        <v>1331</v>
      </c>
      <c r="B154" t="s">
        <v>1332</v>
      </c>
      <c r="C154" s="3">
        <v>45798</v>
      </c>
      <c r="D154" s="3">
        <v>45798</v>
      </c>
      <c r="E154" t="s">
        <v>41</v>
      </c>
      <c r="H154" t="s">
        <v>787</v>
      </c>
      <c r="I154" t="s">
        <v>252</v>
      </c>
      <c r="K154" t="s">
        <v>243</v>
      </c>
      <c r="M154" t="s">
        <v>43</v>
      </c>
      <c r="N154" t="s">
        <v>599</v>
      </c>
      <c r="O154" t="s">
        <v>712</v>
      </c>
      <c r="R154" t="s">
        <v>1333</v>
      </c>
      <c r="S154" t="s">
        <v>1334</v>
      </c>
      <c r="T154" t="s">
        <v>1335</v>
      </c>
      <c r="U154" s="5"/>
      <c r="V154" s="5" t="s">
        <v>1336</v>
      </c>
      <c r="W154" s="5"/>
      <c r="X154" s="5"/>
      <c r="Y154" s="5"/>
      <c r="Z154" s="5"/>
      <c r="AA154" s="5"/>
      <c r="AB154" s="5"/>
      <c r="AC154" s="10" t="s">
        <v>603</v>
      </c>
      <c r="AD154" s="10"/>
      <c r="AE154" s="10"/>
      <c r="AF154" s="10"/>
      <c r="AG154" s="10"/>
      <c r="AH154" s="10"/>
      <c r="AI154" s="10" t="s">
        <v>604</v>
      </c>
      <c r="AJ154" s="5" t="s">
        <v>516</v>
      </c>
      <c r="AK154" s="5"/>
      <c r="AL154" s="5"/>
      <c r="AM154" t="s">
        <v>516</v>
      </c>
      <c r="AN154" t="s">
        <v>84</v>
      </c>
    </row>
    <row r="155" spans="1:40" ht="15" customHeight="1">
      <c r="A155" t="s">
        <v>1337</v>
      </c>
      <c r="B155" t="s">
        <v>1338</v>
      </c>
      <c r="C155" s="3">
        <v>45798</v>
      </c>
      <c r="D155" s="3">
        <v>45799</v>
      </c>
      <c r="E155" t="s">
        <v>41</v>
      </c>
      <c r="H155" t="s">
        <v>850</v>
      </c>
      <c r="I155" t="s">
        <v>48</v>
      </c>
      <c r="K155" t="s">
        <v>48</v>
      </c>
      <c r="M155" t="s">
        <v>43</v>
      </c>
      <c r="N155" t="s">
        <v>599</v>
      </c>
      <c r="O155" t="s">
        <v>571</v>
      </c>
      <c r="R155" t="s">
        <v>780</v>
      </c>
      <c r="S155" t="s">
        <v>1339</v>
      </c>
      <c r="T155" t="s">
        <v>1340</v>
      </c>
      <c r="U155" s="5"/>
      <c r="V155" s="5" t="s">
        <v>1341</v>
      </c>
      <c r="W155" s="5"/>
      <c r="X155" s="5"/>
      <c r="Y155" s="5"/>
      <c r="Z155" s="5"/>
      <c r="AA155" s="5"/>
      <c r="AB155" s="5"/>
      <c r="AC155" s="10" t="s">
        <v>603</v>
      </c>
      <c r="AD155" s="10"/>
      <c r="AE155" s="10"/>
      <c r="AF155" s="10"/>
      <c r="AG155" s="10"/>
      <c r="AH155" s="10"/>
      <c r="AI155" s="10" t="s">
        <v>604</v>
      </c>
      <c r="AJ155" s="5" t="s">
        <v>1322</v>
      </c>
      <c r="AK155" s="5"/>
      <c r="AL155" s="5"/>
      <c r="AM155" t="s">
        <v>1270</v>
      </c>
      <c r="AN155" t="s">
        <v>1176</v>
      </c>
    </row>
    <row r="156" spans="1:40" ht="15" customHeight="1">
      <c r="A156" t="s">
        <v>1342</v>
      </c>
      <c r="B156" t="s">
        <v>1343</v>
      </c>
      <c r="C156" s="3">
        <v>45799</v>
      </c>
      <c r="D156" s="3">
        <v>45799</v>
      </c>
      <c r="E156" t="s">
        <v>41</v>
      </c>
      <c r="H156" t="s">
        <v>787</v>
      </c>
      <c r="I156" t="s">
        <v>252</v>
      </c>
      <c r="K156" t="s">
        <v>243</v>
      </c>
      <c r="M156" t="s">
        <v>43</v>
      </c>
      <c r="N156" t="s">
        <v>599</v>
      </c>
      <c r="O156" t="s">
        <v>551</v>
      </c>
      <c r="R156" t="s">
        <v>1333</v>
      </c>
      <c r="S156" t="s">
        <v>1344</v>
      </c>
      <c r="T156" t="s">
        <v>1345</v>
      </c>
      <c r="U156" s="5"/>
      <c r="V156" s="5" t="s">
        <v>1346</v>
      </c>
      <c r="W156" s="5"/>
      <c r="X156" s="5"/>
      <c r="Y156" s="5"/>
      <c r="Z156" s="5"/>
      <c r="AA156" s="5"/>
      <c r="AB156" s="5"/>
      <c r="AC156" s="10" t="s">
        <v>603</v>
      </c>
      <c r="AD156" s="10"/>
      <c r="AE156" s="10"/>
      <c r="AF156" s="10"/>
      <c r="AG156" s="10"/>
      <c r="AH156" s="10"/>
      <c r="AI156" s="10" t="s">
        <v>604</v>
      </c>
      <c r="AJ156" s="5" t="s">
        <v>516</v>
      </c>
      <c r="AK156" s="5"/>
      <c r="AL156" s="5"/>
      <c r="AM156" t="s">
        <v>1347</v>
      </c>
      <c r="AN156" t="s">
        <v>84</v>
      </c>
    </row>
    <row r="157" spans="1:40" ht="15" customHeight="1">
      <c r="A157" t="s">
        <v>1348</v>
      </c>
      <c r="B157" t="s">
        <v>1349</v>
      </c>
      <c r="C157" s="3">
        <v>45799</v>
      </c>
      <c r="D157" s="3">
        <v>45803</v>
      </c>
      <c r="E157" t="s">
        <v>1189</v>
      </c>
      <c r="H157" t="s">
        <v>779</v>
      </c>
      <c r="I157" t="s">
        <v>109</v>
      </c>
      <c r="K157" t="s">
        <v>109</v>
      </c>
      <c r="M157" t="s">
        <v>43</v>
      </c>
      <c r="N157" t="s">
        <v>599</v>
      </c>
      <c r="O157" t="s">
        <v>571</v>
      </c>
      <c r="R157" t="s">
        <v>780</v>
      </c>
      <c r="S157" t="s">
        <v>1319</v>
      </c>
      <c r="T157" t="s">
        <v>1350</v>
      </c>
      <c r="U157" s="5"/>
      <c r="V157" s="5" t="s">
        <v>1351</v>
      </c>
      <c r="W157" s="5"/>
      <c r="X157" s="5"/>
      <c r="Y157" s="5"/>
      <c r="Z157" s="5"/>
      <c r="AA157" s="5"/>
      <c r="AB157" s="5"/>
      <c r="AC157" s="10" t="s">
        <v>603</v>
      </c>
      <c r="AD157" s="10"/>
      <c r="AE157" s="10"/>
      <c r="AF157" s="10"/>
      <c r="AG157" s="10"/>
      <c r="AH157" s="10"/>
      <c r="AI157" s="10" t="s">
        <v>604</v>
      </c>
      <c r="AJ157" s="5" t="s">
        <v>1322</v>
      </c>
      <c r="AK157" s="5"/>
      <c r="AL157" s="5"/>
      <c r="AM157" t="s">
        <v>1270</v>
      </c>
      <c r="AN157" t="s">
        <v>1176</v>
      </c>
    </row>
    <row r="158" spans="1:40" ht="15" customHeight="1">
      <c r="A158" t="s">
        <v>1352</v>
      </c>
      <c r="B158" t="s">
        <v>1353</v>
      </c>
      <c r="C158" s="3">
        <v>45799</v>
      </c>
      <c r="D158" s="3">
        <v>45799</v>
      </c>
      <c r="E158" t="s">
        <v>1196</v>
      </c>
      <c r="H158" t="s">
        <v>1354</v>
      </c>
      <c r="I158" t="s">
        <v>125</v>
      </c>
      <c r="K158" t="s">
        <v>496</v>
      </c>
      <c r="M158" t="s">
        <v>43</v>
      </c>
      <c r="N158" t="s">
        <v>609</v>
      </c>
      <c r="O158" t="s">
        <v>712</v>
      </c>
      <c r="R158" t="s">
        <v>488</v>
      </c>
      <c r="S158" t="s">
        <v>1355</v>
      </c>
      <c r="T158" t="s">
        <v>1356</v>
      </c>
      <c r="U158" s="5"/>
      <c r="V158" s="5" t="s">
        <v>1357</v>
      </c>
      <c r="W158" s="5"/>
      <c r="X158" s="5"/>
      <c r="Y158" s="5"/>
      <c r="Z158" s="5"/>
      <c r="AA158" s="5"/>
      <c r="AB158" s="5"/>
      <c r="AC158" s="10" t="s">
        <v>603</v>
      </c>
      <c r="AD158" s="10"/>
      <c r="AE158" s="10"/>
      <c r="AF158" s="10"/>
      <c r="AG158" s="10"/>
      <c r="AH158" s="10"/>
      <c r="AI158" s="10" t="s">
        <v>604</v>
      </c>
      <c r="AJ158" s="5" t="s">
        <v>516</v>
      </c>
      <c r="AK158" s="5"/>
      <c r="AL158" s="5"/>
      <c r="AM158" t="s">
        <v>1358</v>
      </c>
      <c r="AN158" t="s">
        <v>84</v>
      </c>
    </row>
    <row r="159" spans="1:40" ht="15" customHeight="1">
      <c r="A159" t="s">
        <v>1359</v>
      </c>
      <c r="B159" t="s">
        <v>1360</v>
      </c>
      <c r="C159" s="3">
        <v>45800</v>
      </c>
      <c r="D159" s="3">
        <v>45800</v>
      </c>
      <c r="E159" t="s">
        <v>1196</v>
      </c>
      <c r="H159" t="s">
        <v>873</v>
      </c>
      <c r="I159" t="s">
        <v>159</v>
      </c>
      <c r="K159" t="s">
        <v>1361</v>
      </c>
      <c r="M159" t="s">
        <v>43</v>
      </c>
      <c r="N159" t="s">
        <v>599</v>
      </c>
      <c r="O159" t="s">
        <v>1362</v>
      </c>
      <c r="R159" t="s">
        <v>830</v>
      </c>
      <c r="S159" t="s">
        <v>1363</v>
      </c>
      <c r="T159" t="s">
        <v>1364</v>
      </c>
      <c r="U159" s="5"/>
      <c r="V159" s="5" t="s">
        <v>1365</v>
      </c>
      <c r="W159" s="5"/>
      <c r="X159" s="5"/>
      <c r="Y159" s="5"/>
      <c r="Z159" s="5"/>
      <c r="AA159" s="5"/>
      <c r="AB159" s="5"/>
      <c r="AC159" s="10" t="s">
        <v>603</v>
      </c>
      <c r="AD159" s="10"/>
      <c r="AE159" s="10"/>
      <c r="AF159" s="10"/>
      <c r="AG159" s="10"/>
      <c r="AH159" s="10"/>
      <c r="AI159" s="10" t="s">
        <v>604</v>
      </c>
      <c r="AJ159" s="5" t="s">
        <v>1366</v>
      </c>
      <c r="AK159" s="5"/>
      <c r="AL159" s="5"/>
      <c r="AM159" t="s">
        <v>1367</v>
      </c>
      <c r="AN159" t="s">
        <v>84</v>
      </c>
    </row>
    <row r="160" spans="1:40" ht="15" customHeight="1">
      <c r="A160" t="s">
        <v>1368</v>
      </c>
      <c r="B160" t="s">
        <v>1369</v>
      </c>
      <c r="C160" s="3">
        <v>45803</v>
      </c>
      <c r="D160" s="3">
        <v>45805</v>
      </c>
      <c r="E160" t="s">
        <v>47</v>
      </c>
      <c r="H160" t="s">
        <v>1370</v>
      </c>
      <c r="I160" t="s">
        <v>435</v>
      </c>
      <c r="K160" t="s">
        <v>435</v>
      </c>
      <c r="M160" t="s">
        <v>43</v>
      </c>
      <c r="N160" t="s">
        <v>609</v>
      </c>
      <c r="O160" t="s">
        <v>982</v>
      </c>
      <c r="R160" t="s">
        <v>488</v>
      </c>
      <c r="S160" t="s">
        <v>1371</v>
      </c>
      <c r="T160" t="s">
        <v>1372</v>
      </c>
      <c r="U160" s="5"/>
      <c r="V160" s="5" t="s">
        <v>1373</v>
      </c>
      <c r="W160" s="5"/>
      <c r="X160" s="5"/>
      <c r="Y160" s="5"/>
      <c r="Z160" s="5"/>
      <c r="AA160" s="5"/>
      <c r="AB160" s="5"/>
      <c r="AC160" s="10" t="s">
        <v>603</v>
      </c>
      <c r="AD160" s="10"/>
      <c r="AE160" s="10"/>
      <c r="AF160" s="10"/>
      <c r="AG160" s="10"/>
      <c r="AH160" s="10"/>
      <c r="AI160" s="10" t="s">
        <v>604</v>
      </c>
      <c r="AJ160" s="5" t="s">
        <v>1374</v>
      </c>
      <c r="AK160" s="5"/>
      <c r="AL160" s="5"/>
      <c r="AM160" t="s">
        <v>1375</v>
      </c>
      <c r="AN160" t="s">
        <v>84</v>
      </c>
    </row>
    <row r="161" spans="1:40" ht="15" customHeight="1">
      <c r="A161" t="s">
        <v>1376</v>
      </c>
      <c r="B161" t="s">
        <v>1377</v>
      </c>
      <c r="C161" s="3">
        <v>45804</v>
      </c>
      <c r="D161" s="3">
        <v>45805</v>
      </c>
      <c r="E161" t="s">
        <v>41</v>
      </c>
      <c r="H161" t="s">
        <v>1092</v>
      </c>
      <c r="I161" t="s">
        <v>54</v>
      </c>
      <c r="K161" t="s">
        <v>54</v>
      </c>
      <c r="M161" t="s">
        <v>43</v>
      </c>
      <c r="N161" t="s">
        <v>599</v>
      </c>
      <c r="O161" t="s">
        <v>571</v>
      </c>
      <c r="R161" t="s">
        <v>1378</v>
      </c>
      <c r="S161" t="s">
        <v>1379</v>
      </c>
      <c r="T161" t="s">
        <v>1380</v>
      </c>
      <c r="U161" s="5"/>
      <c r="V161" s="5" t="s">
        <v>1381</v>
      </c>
      <c r="W161" s="5"/>
      <c r="X161" s="5"/>
      <c r="Y161" s="5"/>
      <c r="Z161" s="5"/>
      <c r="AA161" s="5"/>
      <c r="AB161" s="5"/>
      <c r="AC161" s="10" t="s">
        <v>603</v>
      </c>
      <c r="AD161" s="10"/>
      <c r="AE161" s="10"/>
      <c r="AF161" s="10"/>
      <c r="AG161" s="10"/>
      <c r="AH161" s="10"/>
      <c r="AI161" s="10" t="s">
        <v>604</v>
      </c>
      <c r="AJ161" s="5" t="s">
        <v>1382</v>
      </c>
      <c r="AK161" s="5"/>
      <c r="AL161" s="5"/>
      <c r="AM161" t="s">
        <v>1383</v>
      </c>
      <c r="AN161" t="s">
        <v>1176</v>
      </c>
    </row>
    <row r="162" spans="1:40" ht="15" customHeight="1">
      <c r="A162" t="s">
        <v>1384</v>
      </c>
      <c r="B162" t="s">
        <v>1385</v>
      </c>
      <c r="C162" s="3">
        <v>45805</v>
      </c>
      <c r="D162" s="3">
        <v>45805</v>
      </c>
      <c r="E162" t="s">
        <v>41</v>
      </c>
      <c r="H162" t="s">
        <v>1386</v>
      </c>
      <c r="I162" t="s">
        <v>1387</v>
      </c>
      <c r="K162" t="s">
        <v>1388</v>
      </c>
      <c r="M162" t="s">
        <v>43</v>
      </c>
      <c r="N162" t="s">
        <v>590</v>
      </c>
      <c r="O162" t="s">
        <v>1389</v>
      </c>
      <c r="R162" t="s">
        <v>97</v>
      </c>
      <c r="S162" t="s">
        <v>1390</v>
      </c>
      <c r="T162" t="s">
        <v>1391</v>
      </c>
      <c r="U162" s="5"/>
      <c r="V162" s="5" t="s">
        <v>1392</v>
      </c>
      <c r="W162" s="5"/>
      <c r="X162" s="5"/>
      <c r="Y162" s="5"/>
      <c r="Z162" s="5"/>
      <c r="AA162" s="5"/>
      <c r="AB162" s="5"/>
      <c r="AC162" s="10" t="s">
        <v>603</v>
      </c>
      <c r="AD162" s="10"/>
      <c r="AE162" s="10"/>
      <c r="AF162" s="10"/>
      <c r="AG162" s="10"/>
      <c r="AH162" s="10"/>
      <c r="AI162" s="10" t="s">
        <v>604</v>
      </c>
      <c r="AJ162" s="5" t="s">
        <v>1393</v>
      </c>
      <c r="AK162" s="5"/>
      <c r="AL162" s="5"/>
      <c r="AM162" t="s">
        <v>1394</v>
      </c>
      <c r="AN162" t="s">
        <v>1176</v>
      </c>
    </row>
    <row r="163" spans="1:40" ht="15" customHeight="1">
      <c r="A163" t="s">
        <v>1395</v>
      </c>
      <c r="B163" t="s">
        <v>1396</v>
      </c>
      <c r="C163" s="3">
        <v>45805</v>
      </c>
      <c r="D163" s="3">
        <v>45805</v>
      </c>
      <c r="E163" t="s">
        <v>1196</v>
      </c>
      <c r="H163" t="s">
        <v>904</v>
      </c>
      <c r="I163" t="s">
        <v>65</v>
      </c>
      <c r="K163" t="s">
        <v>1179</v>
      </c>
      <c r="M163" t="s">
        <v>43</v>
      </c>
      <c r="N163" t="s">
        <v>599</v>
      </c>
      <c r="O163" t="s">
        <v>982</v>
      </c>
      <c r="R163" t="s">
        <v>852</v>
      </c>
      <c r="S163" t="s">
        <v>1397</v>
      </c>
      <c r="T163" t="s">
        <v>1398</v>
      </c>
      <c r="U163" s="5"/>
      <c r="V163" s="5" t="s">
        <v>1399</v>
      </c>
      <c r="W163" s="5"/>
      <c r="X163" s="5"/>
      <c r="Y163" s="5" t="s">
        <v>675</v>
      </c>
      <c r="Z163" s="5" t="s">
        <v>675</v>
      </c>
      <c r="AA163" s="5" t="s">
        <v>675</v>
      </c>
      <c r="AB163" s="5" t="s">
        <v>675</v>
      </c>
      <c r="AC163" s="10" t="s">
        <v>896</v>
      </c>
      <c r="AD163" s="10" t="s">
        <v>65</v>
      </c>
      <c r="AE163" s="10" t="s">
        <v>986</v>
      </c>
      <c r="AF163" s="10" t="s">
        <v>1400</v>
      </c>
      <c r="AG163" s="10" t="s">
        <v>1401</v>
      </c>
      <c r="AH163" s="10" t="s">
        <v>1402</v>
      </c>
      <c r="AI163" s="10" t="s">
        <v>1403</v>
      </c>
      <c r="AJ163" s="5" t="s">
        <v>1404</v>
      </c>
      <c r="AK163" s="5"/>
      <c r="AL163" s="5"/>
      <c r="AM163" t="s">
        <v>1405</v>
      </c>
      <c r="AN163" t="s">
        <v>84</v>
      </c>
    </row>
    <row r="164" spans="1:40" ht="15" customHeight="1">
      <c r="A164" t="s">
        <v>1406</v>
      </c>
      <c r="B164" t="s">
        <v>1407</v>
      </c>
      <c r="C164" s="3">
        <v>45807</v>
      </c>
      <c r="D164" s="3">
        <v>45819</v>
      </c>
      <c r="E164" t="s">
        <v>47</v>
      </c>
      <c r="H164" t="s">
        <v>1078</v>
      </c>
      <c r="I164" t="s">
        <v>1408</v>
      </c>
      <c r="K164" t="s">
        <v>1409</v>
      </c>
      <c r="M164" t="s">
        <v>43</v>
      </c>
      <c r="N164" t="s">
        <v>609</v>
      </c>
      <c r="O164" t="s">
        <v>982</v>
      </c>
      <c r="R164" t="s">
        <v>1410</v>
      </c>
      <c r="S164" t="s">
        <v>1411</v>
      </c>
      <c r="T164" t="s">
        <v>1412</v>
      </c>
      <c r="U164" s="5"/>
      <c r="V164" s="5" t="s">
        <v>1413</v>
      </c>
      <c r="W164" s="5"/>
      <c r="X164" s="5"/>
      <c r="Y164" s="5"/>
      <c r="Z164" s="5"/>
      <c r="AA164" s="5"/>
      <c r="AB164" s="5"/>
      <c r="AC164" s="10" t="s">
        <v>603</v>
      </c>
      <c r="AD164" s="10"/>
      <c r="AE164" s="10"/>
      <c r="AF164" s="10"/>
      <c r="AG164" s="10"/>
      <c r="AH164" s="10"/>
      <c r="AI164" s="10" t="s">
        <v>604</v>
      </c>
      <c r="AJ164" s="5" t="s">
        <v>1414</v>
      </c>
      <c r="AK164" s="5"/>
      <c r="AL164" s="5"/>
      <c r="AM164" t="s">
        <v>1415</v>
      </c>
      <c r="AN164" t="s">
        <v>84</v>
      </c>
    </row>
    <row r="165" spans="1:40" ht="15" customHeight="1">
      <c r="A165" t="s">
        <v>1416</v>
      </c>
      <c r="B165" t="s">
        <v>1417</v>
      </c>
      <c r="C165" s="3">
        <v>45807</v>
      </c>
      <c r="D165" s="3">
        <v>45807</v>
      </c>
      <c r="E165" t="s">
        <v>47</v>
      </c>
      <c r="H165" t="s">
        <v>787</v>
      </c>
      <c r="I165" t="s">
        <v>252</v>
      </c>
      <c r="K165" t="s">
        <v>252</v>
      </c>
      <c r="M165" t="s">
        <v>43</v>
      </c>
      <c r="N165" t="s">
        <v>590</v>
      </c>
      <c r="O165" t="s">
        <v>591</v>
      </c>
      <c r="R165" t="s">
        <v>830</v>
      </c>
      <c r="S165" t="s">
        <v>1418</v>
      </c>
      <c r="T165" t="s">
        <v>1419</v>
      </c>
      <c r="U165" s="5"/>
      <c r="V165" s="5" t="s">
        <v>1420</v>
      </c>
      <c r="W165" s="5"/>
      <c r="X165" s="5"/>
      <c r="Y165" s="5"/>
      <c r="Z165" s="5"/>
      <c r="AA165" s="5"/>
      <c r="AB165" s="5"/>
      <c r="AC165" s="10" t="s">
        <v>603</v>
      </c>
      <c r="AD165" s="10"/>
      <c r="AE165" s="10"/>
      <c r="AF165" s="10"/>
      <c r="AG165" s="10"/>
      <c r="AH165" s="10"/>
      <c r="AI165" s="10" t="s">
        <v>604</v>
      </c>
      <c r="AJ165" s="5" t="s">
        <v>1421</v>
      </c>
      <c r="AK165" s="5"/>
      <c r="AL165" s="5"/>
      <c r="AM165" t="s">
        <v>1422</v>
      </c>
      <c r="AN165" t="s">
        <v>1176</v>
      </c>
    </row>
    <row r="166" spans="1:40" ht="15" customHeight="1">
      <c r="A166" t="s">
        <v>1423</v>
      </c>
      <c r="B166" t="s">
        <v>1424</v>
      </c>
      <c r="C166" s="3">
        <v>45810</v>
      </c>
      <c r="D166" s="3">
        <v>45812</v>
      </c>
      <c r="E166" t="s">
        <v>41</v>
      </c>
      <c r="H166" t="s">
        <v>1425</v>
      </c>
      <c r="I166" t="s">
        <v>1426</v>
      </c>
      <c r="K166" t="s">
        <v>828</v>
      </c>
      <c r="M166" t="s">
        <v>43</v>
      </c>
      <c r="N166" t="s">
        <v>609</v>
      </c>
      <c r="O166" t="s">
        <v>982</v>
      </c>
      <c r="R166" t="s">
        <v>830</v>
      </c>
      <c r="S166" t="s">
        <v>1427</v>
      </c>
      <c r="T166" t="s">
        <v>1428</v>
      </c>
      <c r="U166" s="5"/>
      <c r="V166" s="5" t="s">
        <v>1429</v>
      </c>
      <c r="W166" s="5"/>
      <c r="X166" s="5"/>
      <c r="Y166" s="5" t="s">
        <v>675</v>
      </c>
      <c r="Z166" s="5" t="s">
        <v>675</v>
      </c>
      <c r="AA166" s="5" t="s">
        <v>675</v>
      </c>
      <c r="AB166" s="5" t="s">
        <v>675</v>
      </c>
      <c r="AC166" s="10" t="s">
        <v>896</v>
      </c>
      <c r="AD166" s="10" t="s">
        <v>1430</v>
      </c>
      <c r="AE166" s="10" t="s">
        <v>1431</v>
      </c>
      <c r="AF166" s="10" t="s">
        <v>1432</v>
      </c>
      <c r="AG166" s="10" t="s">
        <v>1433</v>
      </c>
      <c r="AH166" s="10" t="s">
        <v>1434</v>
      </c>
      <c r="AI166" s="10" t="s">
        <v>1435</v>
      </c>
      <c r="AJ166" s="5" t="s">
        <v>1436</v>
      </c>
      <c r="AK166" s="5"/>
      <c r="AL166" s="5"/>
      <c r="AM166" t="s">
        <v>1437</v>
      </c>
      <c r="AN166" t="s">
        <v>84</v>
      </c>
    </row>
    <row r="167" spans="1:40" ht="15" customHeight="1">
      <c r="A167" t="s">
        <v>1438</v>
      </c>
      <c r="B167" t="s">
        <v>1439</v>
      </c>
      <c r="C167" s="3">
        <v>45811</v>
      </c>
      <c r="D167" s="3">
        <v>45819</v>
      </c>
      <c r="E167" t="s">
        <v>41</v>
      </c>
      <c r="H167" t="s">
        <v>873</v>
      </c>
      <c r="I167" t="s">
        <v>159</v>
      </c>
      <c r="K167" t="s">
        <v>943</v>
      </c>
      <c r="M167" t="s">
        <v>43</v>
      </c>
      <c r="N167" t="s">
        <v>609</v>
      </c>
      <c r="O167" t="s">
        <v>982</v>
      </c>
      <c r="R167" t="s">
        <v>1440</v>
      </c>
      <c r="S167" t="s">
        <v>1441</v>
      </c>
      <c r="T167" t="s">
        <v>1442</v>
      </c>
      <c r="U167" s="5"/>
      <c r="V167" s="5" t="s">
        <v>1443</v>
      </c>
      <c r="W167" s="5"/>
      <c r="X167" s="5"/>
      <c r="Y167" s="5"/>
      <c r="Z167" s="5"/>
      <c r="AA167" s="5"/>
      <c r="AB167" s="5"/>
      <c r="AC167" s="10" t="s">
        <v>603</v>
      </c>
      <c r="AD167" s="10"/>
      <c r="AE167" s="10"/>
      <c r="AF167" s="10"/>
      <c r="AG167" s="10"/>
      <c r="AH167" s="10"/>
      <c r="AI167" s="10" t="s">
        <v>604</v>
      </c>
      <c r="AJ167" s="5" t="s">
        <v>1444</v>
      </c>
      <c r="AK167" s="5"/>
      <c r="AL167" s="5"/>
      <c r="AM167" t="s">
        <v>1445</v>
      </c>
      <c r="AN167" t="s">
        <v>84</v>
      </c>
    </row>
    <row r="168" spans="1:40" ht="15" customHeight="1">
      <c r="A168" t="s">
        <v>1446</v>
      </c>
      <c r="B168" t="s">
        <v>1447</v>
      </c>
      <c r="C168" s="3">
        <v>45811</v>
      </c>
      <c r="D168" s="3">
        <v>45812</v>
      </c>
      <c r="E168" t="s">
        <v>41</v>
      </c>
      <c r="H168" t="s">
        <v>884</v>
      </c>
      <c r="I168" t="s">
        <v>181</v>
      </c>
      <c r="K168" t="s">
        <v>181</v>
      </c>
      <c r="M168" t="s">
        <v>43</v>
      </c>
      <c r="N168" t="s">
        <v>599</v>
      </c>
      <c r="O168" t="s">
        <v>571</v>
      </c>
      <c r="R168" t="s">
        <v>780</v>
      </c>
      <c r="S168" t="s">
        <v>1448</v>
      </c>
      <c r="T168" t="s">
        <v>1449</v>
      </c>
      <c r="U168" s="5"/>
      <c r="V168" s="5" t="s">
        <v>1450</v>
      </c>
      <c r="W168" s="5"/>
      <c r="X168" s="5"/>
      <c r="Y168" s="5"/>
      <c r="Z168" s="5"/>
      <c r="AA168" s="5"/>
      <c r="AB168" s="5"/>
      <c r="AC168" s="10" t="s">
        <v>603</v>
      </c>
      <c r="AD168" s="10"/>
      <c r="AE168" s="10"/>
      <c r="AF168" s="10"/>
      <c r="AG168" s="10"/>
      <c r="AH168" s="10"/>
      <c r="AI168" s="10" t="s">
        <v>604</v>
      </c>
      <c r="AJ168" s="5" t="s">
        <v>1451</v>
      </c>
      <c r="AK168" s="5"/>
      <c r="AL168" s="5"/>
      <c r="AM168" t="s">
        <v>1452</v>
      </c>
      <c r="AN168" t="s">
        <v>1176</v>
      </c>
    </row>
    <row r="169" spans="1:40" ht="15" customHeight="1">
      <c r="A169" t="s">
        <v>1453</v>
      </c>
      <c r="B169" t="s">
        <v>1454</v>
      </c>
      <c r="C169" s="3">
        <v>45811</v>
      </c>
      <c r="D169" s="3">
        <v>45812</v>
      </c>
      <c r="E169" t="s">
        <v>41</v>
      </c>
      <c r="H169" t="s">
        <v>873</v>
      </c>
      <c r="I169" t="s">
        <v>159</v>
      </c>
      <c r="K169" t="s">
        <v>1455</v>
      </c>
      <c r="M169" t="s">
        <v>43</v>
      </c>
      <c r="N169" t="s">
        <v>599</v>
      </c>
      <c r="O169" t="s">
        <v>982</v>
      </c>
      <c r="R169" t="s">
        <v>1456</v>
      </c>
      <c r="S169" t="s">
        <v>1457</v>
      </c>
      <c r="T169" t="s">
        <v>1458</v>
      </c>
      <c r="U169" s="5"/>
      <c r="V169" s="5" t="s">
        <v>1459</v>
      </c>
      <c r="W169" s="5"/>
      <c r="X169" s="5"/>
      <c r="Y169" s="5"/>
      <c r="Z169" s="5"/>
      <c r="AA169" s="5"/>
      <c r="AB169" s="5"/>
      <c r="AC169" s="10" t="s">
        <v>603</v>
      </c>
      <c r="AD169" s="10" t="s">
        <v>1460</v>
      </c>
      <c r="AE169" s="10" t="s">
        <v>1461</v>
      </c>
      <c r="AF169" s="10" t="s">
        <v>1462</v>
      </c>
      <c r="AG169" s="10" t="s">
        <v>1463</v>
      </c>
      <c r="AH169" s="10" t="s">
        <v>1464</v>
      </c>
      <c r="AI169" s="10" t="s">
        <v>1465</v>
      </c>
      <c r="AJ169" s="5" t="s">
        <v>1463</v>
      </c>
      <c r="AK169" s="5"/>
      <c r="AL169" s="5"/>
      <c r="AM169" t="s">
        <v>1466</v>
      </c>
      <c r="AN169" t="s">
        <v>84</v>
      </c>
    </row>
    <row r="170" spans="1:40" ht="15" customHeight="1">
      <c r="A170" t="s">
        <v>1467</v>
      </c>
      <c r="B170" t="s">
        <v>1468</v>
      </c>
      <c r="C170" s="3">
        <v>45817</v>
      </c>
      <c r="D170" s="3">
        <v>45817</v>
      </c>
      <c r="E170" t="s">
        <v>47</v>
      </c>
      <c r="H170" t="s">
        <v>904</v>
      </c>
      <c r="I170" t="s">
        <v>65</v>
      </c>
      <c r="K170" t="s">
        <v>65</v>
      </c>
      <c r="M170" t="s">
        <v>43</v>
      </c>
      <c r="N170" t="s">
        <v>599</v>
      </c>
      <c r="O170" t="s">
        <v>1469</v>
      </c>
      <c r="R170" t="s">
        <v>1470</v>
      </c>
      <c r="S170" t="s">
        <v>1471</v>
      </c>
      <c r="T170" t="s">
        <v>1472</v>
      </c>
      <c r="U170" s="5"/>
      <c r="V170" s="5" t="s">
        <v>1473</v>
      </c>
      <c r="W170" s="5"/>
      <c r="X170" s="5"/>
      <c r="Y170" s="5"/>
      <c r="Z170" s="5"/>
      <c r="AA170" s="5"/>
      <c r="AB170" s="5"/>
      <c r="AC170" s="10" t="s">
        <v>603</v>
      </c>
      <c r="AD170" s="10" t="s">
        <v>65</v>
      </c>
      <c r="AE170" s="10" t="s">
        <v>1474</v>
      </c>
      <c r="AF170" s="10" t="s">
        <v>1475</v>
      </c>
      <c r="AG170" s="10"/>
      <c r="AH170" s="10"/>
      <c r="AI170" s="10" t="s">
        <v>1476</v>
      </c>
      <c r="AJ170" s="5" t="s">
        <v>1477</v>
      </c>
      <c r="AK170" s="5"/>
      <c r="AL170" s="5"/>
      <c r="AM170" t="s">
        <v>1478</v>
      </c>
      <c r="AN170" t="s">
        <v>74</v>
      </c>
    </row>
    <row r="171" spans="1:40" ht="15" customHeight="1">
      <c r="A171" t="s">
        <v>1479</v>
      </c>
      <c r="B171" t="s">
        <v>1480</v>
      </c>
      <c r="C171" s="3">
        <v>45817</v>
      </c>
      <c r="D171" s="3">
        <v>45817</v>
      </c>
      <c r="E171" t="s">
        <v>47</v>
      </c>
      <c r="H171" t="s">
        <v>1211</v>
      </c>
      <c r="I171" t="s">
        <v>1212</v>
      </c>
      <c r="K171" t="s">
        <v>1481</v>
      </c>
      <c r="M171" t="s">
        <v>43</v>
      </c>
      <c r="N171" t="s">
        <v>632</v>
      </c>
      <c r="O171" t="s">
        <v>1482</v>
      </c>
      <c r="R171" t="s">
        <v>1483</v>
      </c>
      <c r="S171" t="s">
        <v>1484</v>
      </c>
      <c r="T171" t="s">
        <v>1485</v>
      </c>
      <c r="U171" s="5"/>
      <c r="V171" s="5" t="s">
        <v>1486</v>
      </c>
      <c r="W171" s="5"/>
      <c r="X171" s="5"/>
      <c r="Y171" s="5"/>
      <c r="Z171" s="5"/>
      <c r="AA171" s="5"/>
      <c r="AB171" s="5"/>
      <c r="AC171" s="10" t="s">
        <v>603</v>
      </c>
      <c r="AD171" s="10" t="s">
        <v>1212</v>
      </c>
      <c r="AE171" s="10" t="s">
        <v>1487</v>
      </c>
      <c r="AF171" s="10" t="s">
        <v>1488</v>
      </c>
      <c r="AG171" s="10"/>
      <c r="AH171" s="10"/>
      <c r="AI171" s="10" t="s">
        <v>1489</v>
      </c>
      <c r="AJ171" s="5" t="s">
        <v>1490</v>
      </c>
      <c r="AK171" s="5"/>
      <c r="AL171" s="5"/>
      <c r="AM171" t="s">
        <v>1491</v>
      </c>
      <c r="AN171" t="s">
        <v>74</v>
      </c>
    </row>
    <row r="172" spans="1:40" ht="15" customHeight="1">
      <c r="A172" t="s">
        <v>1492</v>
      </c>
      <c r="B172" t="s">
        <v>1493</v>
      </c>
      <c r="C172" s="3">
        <v>45818</v>
      </c>
      <c r="D172" s="3">
        <v>45818</v>
      </c>
      <c r="E172" t="s">
        <v>47</v>
      </c>
      <c r="H172" t="s">
        <v>850</v>
      </c>
      <c r="I172" t="s">
        <v>48</v>
      </c>
      <c r="K172" t="s">
        <v>48</v>
      </c>
      <c r="M172" t="s">
        <v>43</v>
      </c>
      <c r="N172" t="s">
        <v>599</v>
      </c>
      <c r="O172" t="s">
        <v>571</v>
      </c>
      <c r="R172" t="s">
        <v>780</v>
      </c>
      <c r="S172" t="s">
        <v>1494</v>
      </c>
      <c r="T172" t="s">
        <v>1495</v>
      </c>
      <c r="U172" s="5"/>
      <c r="V172" s="5" t="s">
        <v>1496</v>
      </c>
      <c r="W172" s="5"/>
      <c r="X172" s="5"/>
      <c r="Y172" s="5"/>
      <c r="Z172" s="5"/>
      <c r="AA172" s="5"/>
      <c r="AB172" s="5"/>
      <c r="AC172" s="10" t="s">
        <v>603</v>
      </c>
      <c r="AD172" s="10"/>
      <c r="AE172" s="10"/>
      <c r="AF172" s="10"/>
      <c r="AG172" s="10"/>
      <c r="AH172" s="10"/>
      <c r="AI172" s="10" t="s">
        <v>604</v>
      </c>
      <c r="AJ172" s="5" t="s">
        <v>1497</v>
      </c>
      <c r="AK172" s="5"/>
      <c r="AL172" s="5"/>
      <c r="AM172" t="s">
        <v>1383</v>
      </c>
      <c r="AN172" t="s">
        <v>1176</v>
      </c>
    </row>
    <row r="173" spans="1:40" ht="15" customHeight="1">
      <c r="A173" t="s">
        <v>1498</v>
      </c>
      <c r="B173" t="s">
        <v>1499</v>
      </c>
      <c r="C173" s="3">
        <v>45818</v>
      </c>
      <c r="D173" s="3">
        <v>45819</v>
      </c>
      <c r="E173" t="s">
        <v>41</v>
      </c>
      <c r="H173" t="s">
        <v>1500</v>
      </c>
      <c r="I173" t="s">
        <v>519</v>
      </c>
      <c r="K173" t="s">
        <v>519</v>
      </c>
      <c r="M173" t="s">
        <v>43</v>
      </c>
      <c r="N173" t="s">
        <v>599</v>
      </c>
      <c r="O173" t="s">
        <v>1501</v>
      </c>
      <c r="R173" t="s">
        <v>780</v>
      </c>
      <c r="S173" t="s">
        <v>1502</v>
      </c>
      <c r="T173" t="s">
        <v>1503</v>
      </c>
      <c r="U173" s="5"/>
      <c r="V173" s="5" t="s">
        <v>1504</v>
      </c>
      <c r="W173" s="5"/>
      <c r="X173" s="5"/>
      <c r="Y173" s="5"/>
      <c r="Z173" s="5"/>
      <c r="AA173" s="5"/>
      <c r="AB173" s="5"/>
      <c r="AC173" s="10" t="s">
        <v>603</v>
      </c>
      <c r="AD173" s="10"/>
      <c r="AE173" s="10"/>
      <c r="AF173" s="10"/>
      <c r="AG173" s="10"/>
      <c r="AH173" s="10"/>
      <c r="AI173" s="10" t="s">
        <v>604</v>
      </c>
      <c r="AJ173" s="5" t="s">
        <v>317</v>
      </c>
      <c r="AK173" s="5"/>
      <c r="AL173" s="5"/>
      <c r="AM173" t="s">
        <v>317</v>
      </c>
      <c r="AN173" t="s">
        <v>84</v>
      </c>
    </row>
    <row r="174" spans="1:40" ht="15" customHeight="1">
      <c r="A174" t="s">
        <v>1505</v>
      </c>
      <c r="B174" t="s">
        <v>1506</v>
      </c>
      <c r="C174" s="3">
        <v>45819</v>
      </c>
      <c r="D174" s="3">
        <v>45820</v>
      </c>
      <c r="E174" t="s">
        <v>278</v>
      </c>
      <c r="H174" t="s">
        <v>904</v>
      </c>
      <c r="I174" t="s">
        <v>65</v>
      </c>
      <c r="K174" t="s">
        <v>65</v>
      </c>
      <c r="M174" t="s">
        <v>43</v>
      </c>
      <c r="N174" t="s">
        <v>609</v>
      </c>
      <c r="O174" t="s">
        <v>982</v>
      </c>
      <c r="R174" t="s">
        <v>1507</v>
      </c>
      <c r="S174" t="s">
        <v>1508</v>
      </c>
      <c r="T174" t="s">
        <v>1509</v>
      </c>
      <c r="U174" s="5"/>
      <c r="V174" s="5" t="s">
        <v>1510</v>
      </c>
      <c r="W174" s="5"/>
      <c r="X174" s="5"/>
      <c r="Y174" s="5"/>
      <c r="Z174" s="5"/>
      <c r="AA174" s="5"/>
      <c r="AB174" s="5"/>
      <c r="AC174" s="10" t="s">
        <v>603</v>
      </c>
      <c r="AD174" s="10" t="s">
        <v>65</v>
      </c>
      <c r="AE174" s="10" t="s">
        <v>1511</v>
      </c>
      <c r="AF174" s="10" t="s">
        <v>910</v>
      </c>
      <c r="AG174" s="10" t="s">
        <v>1512</v>
      </c>
      <c r="AH174" s="10" t="s">
        <v>1513</v>
      </c>
      <c r="AI174" s="10" t="s">
        <v>1514</v>
      </c>
      <c r="AJ174" s="5" t="s">
        <v>910</v>
      </c>
      <c r="AK174" s="5"/>
      <c r="AL174" s="5"/>
      <c r="AM174" t="s">
        <v>1515</v>
      </c>
      <c r="AN174" t="s">
        <v>84</v>
      </c>
    </row>
    <row r="175" spans="1:40" ht="15" customHeight="1">
      <c r="A175" t="s">
        <v>1516</v>
      </c>
      <c r="B175" t="s">
        <v>1517</v>
      </c>
      <c r="C175" s="3">
        <v>45819</v>
      </c>
      <c r="D175" s="3">
        <v>45820</v>
      </c>
      <c r="E175" t="s">
        <v>278</v>
      </c>
      <c r="H175" t="s">
        <v>1197</v>
      </c>
      <c r="I175" t="s">
        <v>141</v>
      </c>
      <c r="K175" t="s">
        <v>141</v>
      </c>
      <c r="M175" t="s">
        <v>43</v>
      </c>
      <c r="N175" t="s">
        <v>599</v>
      </c>
      <c r="O175" t="s">
        <v>551</v>
      </c>
      <c r="R175" t="s">
        <v>173</v>
      </c>
      <c r="S175" t="s">
        <v>1518</v>
      </c>
      <c r="T175" t="s">
        <v>1519</v>
      </c>
      <c r="U175" s="5"/>
      <c r="V175" s="5" t="s">
        <v>1520</v>
      </c>
      <c r="W175" s="5"/>
      <c r="X175" s="5"/>
      <c r="Y175" s="5"/>
      <c r="Z175" s="5"/>
      <c r="AA175" s="5"/>
      <c r="AB175" s="5"/>
      <c r="AC175" s="10" t="s">
        <v>603</v>
      </c>
      <c r="AD175" s="10" t="s">
        <v>1521</v>
      </c>
      <c r="AE175" s="10" t="s">
        <v>1522</v>
      </c>
      <c r="AF175" s="10" t="s">
        <v>1523</v>
      </c>
      <c r="AG175" s="10" t="s">
        <v>681</v>
      </c>
      <c r="AH175" s="10" t="s">
        <v>1524</v>
      </c>
      <c r="AI175" s="10" t="s">
        <v>1525</v>
      </c>
      <c r="AJ175" s="5" t="s">
        <v>1526</v>
      </c>
      <c r="AK175" s="5"/>
      <c r="AL175" s="5"/>
      <c r="AM175" t="s">
        <v>1527</v>
      </c>
      <c r="AN175" t="s">
        <v>84</v>
      </c>
    </row>
    <row r="176" spans="1:40" ht="15" customHeight="1">
      <c r="A176" t="s">
        <v>1528</v>
      </c>
      <c r="B176" t="s">
        <v>1529</v>
      </c>
      <c r="C176" s="3">
        <v>45821</v>
      </c>
      <c r="D176" s="3">
        <v>45825</v>
      </c>
      <c r="E176" t="s">
        <v>41</v>
      </c>
      <c r="H176" t="s">
        <v>1530</v>
      </c>
      <c r="I176" t="s">
        <v>57</v>
      </c>
      <c r="K176" t="s">
        <v>1531</v>
      </c>
      <c r="M176" t="s">
        <v>43</v>
      </c>
      <c r="N176" t="s">
        <v>609</v>
      </c>
      <c r="O176" t="s">
        <v>982</v>
      </c>
      <c r="R176" t="s">
        <v>830</v>
      </c>
      <c r="S176" t="s">
        <v>1532</v>
      </c>
      <c r="T176" t="s">
        <v>1533</v>
      </c>
      <c r="U176" s="5"/>
      <c r="V176" s="5" t="s">
        <v>1534</v>
      </c>
      <c r="W176" s="5"/>
      <c r="X176" s="5"/>
      <c r="Y176" s="5"/>
      <c r="Z176" s="5"/>
      <c r="AA176" s="5"/>
      <c r="AB176" s="5"/>
      <c r="AC176" s="10" t="s">
        <v>603</v>
      </c>
      <c r="AD176" s="10"/>
      <c r="AE176" s="10"/>
      <c r="AF176" s="10"/>
      <c r="AG176" s="10"/>
      <c r="AH176" s="10"/>
      <c r="AI176" s="10" t="s">
        <v>604</v>
      </c>
      <c r="AJ176" s="5" t="s">
        <v>1535</v>
      </c>
      <c r="AK176" s="5"/>
      <c r="AL176" s="5"/>
      <c r="AM176" t="s">
        <v>1536</v>
      </c>
      <c r="AN176" t="s">
        <v>84</v>
      </c>
    </row>
    <row r="177" spans="1:40" ht="15" customHeight="1">
      <c r="A177" t="s">
        <v>1537</v>
      </c>
      <c r="B177" t="s">
        <v>1538</v>
      </c>
      <c r="C177" s="3">
        <v>45824</v>
      </c>
      <c r="D177" s="3">
        <v>45827</v>
      </c>
      <c r="E177" t="s">
        <v>41</v>
      </c>
      <c r="H177" t="s">
        <v>850</v>
      </c>
      <c r="I177" t="s">
        <v>48</v>
      </c>
      <c r="K177" t="s">
        <v>48</v>
      </c>
      <c r="M177" t="s">
        <v>43</v>
      </c>
      <c r="N177" t="s">
        <v>599</v>
      </c>
      <c r="O177" t="s">
        <v>1539</v>
      </c>
      <c r="R177" t="s">
        <v>1540</v>
      </c>
      <c r="S177" t="s">
        <v>1266</v>
      </c>
      <c r="T177" t="s">
        <v>1541</v>
      </c>
      <c r="U177" s="5"/>
      <c r="V177" s="5" t="s">
        <v>1542</v>
      </c>
      <c r="W177" s="5"/>
      <c r="X177" s="5"/>
      <c r="Y177" s="5"/>
      <c r="Z177" s="5"/>
      <c r="AA177" s="5"/>
      <c r="AB177" s="5"/>
      <c r="AC177" s="10" t="s">
        <v>603</v>
      </c>
      <c r="AD177" s="10"/>
      <c r="AE177" s="10"/>
      <c r="AF177" s="10"/>
      <c r="AG177" s="10"/>
      <c r="AH177" s="10"/>
      <c r="AI177" s="10" t="s">
        <v>604</v>
      </c>
      <c r="AJ177" s="5" t="s">
        <v>1543</v>
      </c>
      <c r="AK177" s="5"/>
      <c r="AL177" s="5"/>
      <c r="AM177" t="s">
        <v>1544</v>
      </c>
      <c r="AN177" t="s">
        <v>1176</v>
      </c>
    </row>
    <row r="178" spans="1:40" ht="15" customHeight="1">
      <c r="A178" t="s">
        <v>1545</v>
      </c>
      <c r="B178" t="s">
        <v>1546</v>
      </c>
      <c r="C178" s="3">
        <v>45824</v>
      </c>
      <c r="D178" s="3">
        <v>45825</v>
      </c>
      <c r="E178" t="s">
        <v>41</v>
      </c>
      <c r="H178" t="s">
        <v>873</v>
      </c>
      <c r="I178" t="s">
        <v>159</v>
      </c>
      <c r="K178" t="s">
        <v>1547</v>
      </c>
      <c r="M178" t="s">
        <v>43</v>
      </c>
      <c r="N178" t="s">
        <v>632</v>
      </c>
      <c r="O178" t="s">
        <v>982</v>
      </c>
      <c r="R178" t="s">
        <v>1548</v>
      </c>
      <c r="S178" t="s">
        <v>516</v>
      </c>
      <c r="T178" t="s">
        <v>1549</v>
      </c>
      <c r="U178" s="5"/>
      <c r="V178" s="5" t="s">
        <v>1550</v>
      </c>
      <c r="W178" s="5"/>
      <c r="X178" s="5"/>
      <c r="Y178" s="5"/>
      <c r="Z178" s="5"/>
      <c r="AA178" s="5"/>
      <c r="AB178" s="5"/>
      <c r="AC178" s="10" t="s">
        <v>603</v>
      </c>
      <c r="AD178" s="10"/>
      <c r="AE178" s="10"/>
      <c r="AF178" s="10"/>
      <c r="AG178" s="10"/>
      <c r="AH178" s="10"/>
      <c r="AI178" s="10" t="s">
        <v>604</v>
      </c>
      <c r="AJ178" s="5" t="s">
        <v>317</v>
      </c>
      <c r="AK178" s="5"/>
      <c r="AL178" s="5"/>
      <c r="AM178" t="s">
        <v>317</v>
      </c>
      <c r="AN178" t="s">
        <v>84</v>
      </c>
    </row>
    <row r="179" spans="1:40" ht="15" customHeight="1">
      <c r="A179" t="s">
        <v>1551</v>
      </c>
      <c r="B179" t="s">
        <v>1552</v>
      </c>
      <c r="C179" s="3">
        <v>45824</v>
      </c>
      <c r="D179" s="3">
        <v>45827</v>
      </c>
      <c r="E179" t="s">
        <v>41</v>
      </c>
      <c r="H179" t="s">
        <v>884</v>
      </c>
      <c r="I179" t="s">
        <v>181</v>
      </c>
      <c r="K179" t="s">
        <v>181</v>
      </c>
      <c r="M179" t="s">
        <v>43</v>
      </c>
      <c r="N179" t="s">
        <v>599</v>
      </c>
      <c r="O179" t="s">
        <v>1539</v>
      </c>
      <c r="R179" t="s">
        <v>182</v>
      </c>
      <c r="S179" t="s">
        <v>1553</v>
      </c>
      <c r="T179" t="s">
        <v>1554</v>
      </c>
      <c r="U179" s="5"/>
      <c r="V179" s="5" t="s">
        <v>1555</v>
      </c>
      <c r="W179" s="5"/>
      <c r="X179" s="5"/>
      <c r="Y179" s="5"/>
      <c r="Z179" s="5"/>
      <c r="AA179" s="5"/>
      <c r="AB179" s="5"/>
      <c r="AC179" s="10" t="s">
        <v>603</v>
      </c>
      <c r="AD179" s="10"/>
      <c r="AE179" s="10"/>
      <c r="AF179" s="10"/>
      <c r="AG179" s="10"/>
      <c r="AH179" s="10"/>
      <c r="AI179" s="10" t="s">
        <v>604</v>
      </c>
      <c r="AJ179" s="5" t="s">
        <v>516</v>
      </c>
      <c r="AK179" s="5"/>
      <c r="AL179" s="5"/>
      <c r="AM179" t="s">
        <v>1556</v>
      </c>
      <c r="AN179" t="s">
        <v>1176</v>
      </c>
    </row>
    <row r="180" spans="1:40" ht="15" customHeight="1">
      <c r="A180" t="s">
        <v>1557</v>
      </c>
      <c r="B180" t="s">
        <v>1558</v>
      </c>
      <c r="C180" s="3">
        <v>45825</v>
      </c>
      <c r="D180" s="3">
        <v>45826</v>
      </c>
      <c r="E180" t="s">
        <v>47</v>
      </c>
      <c r="H180" t="s">
        <v>826</v>
      </c>
      <c r="I180" t="s">
        <v>1045</v>
      </c>
      <c r="K180" t="s">
        <v>1046</v>
      </c>
      <c r="M180" t="s">
        <v>43</v>
      </c>
      <c r="N180" t="s">
        <v>599</v>
      </c>
      <c r="O180" t="s">
        <v>551</v>
      </c>
      <c r="R180" t="s">
        <v>958</v>
      </c>
      <c r="S180" t="s">
        <v>1559</v>
      </c>
      <c r="T180" t="s">
        <v>1560</v>
      </c>
      <c r="U180" s="5"/>
      <c r="V180" s="5" t="s">
        <v>1561</v>
      </c>
      <c r="W180" s="5"/>
      <c r="X180" s="5"/>
      <c r="Y180" s="5"/>
      <c r="Z180" s="5"/>
      <c r="AA180" s="5"/>
      <c r="AB180" s="5"/>
      <c r="AC180" s="10" t="s">
        <v>603</v>
      </c>
      <c r="AD180" s="10"/>
      <c r="AE180" s="10"/>
      <c r="AF180" s="10"/>
      <c r="AG180" s="10"/>
      <c r="AH180" s="10"/>
      <c r="AI180" s="10" t="s">
        <v>604</v>
      </c>
      <c r="AJ180" s="5" t="s">
        <v>1562</v>
      </c>
      <c r="AK180" s="5"/>
      <c r="AL180" s="5"/>
      <c r="AM180" t="s">
        <v>1563</v>
      </c>
      <c r="AN180" t="s">
        <v>84</v>
      </c>
    </row>
    <row r="181" spans="1:40" ht="15" customHeight="1">
      <c r="A181" t="s">
        <v>1564</v>
      </c>
      <c r="B181" t="s">
        <v>1565</v>
      </c>
      <c r="C181" s="3">
        <v>45825</v>
      </c>
      <c r="D181" s="3">
        <v>45831</v>
      </c>
      <c r="E181" t="s">
        <v>47</v>
      </c>
      <c r="H181" t="s">
        <v>787</v>
      </c>
      <c r="I181" t="s">
        <v>252</v>
      </c>
      <c r="K181" t="s">
        <v>86</v>
      </c>
      <c r="M181" t="s">
        <v>43</v>
      </c>
      <c r="N181" t="s">
        <v>609</v>
      </c>
      <c r="O181" t="s">
        <v>1566</v>
      </c>
      <c r="R181" t="s">
        <v>1567</v>
      </c>
      <c r="S181" t="s">
        <v>1568</v>
      </c>
      <c r="T181" t="s">
        <v>1569</v>
      </c>
      <c r="U181" s="5"/>
      <c r="V181" s="5" t="s">
        <v>1570</v>
      </c>
      <c r="W181" s="5"/>
      <c r="X181" s="5"/>
      <c r="Y181" s="5"/>
      <c r="Z181" s="5"/>
      <c r="AA181" s="5"/>
      <c r="AB181" s="5"/>
      <c r="AC181" s="10" t="s">
        <v>603</v>
      </c>
      <c r="AD181" s="10"/>
      <c r="AE181" s="10"/>
      <c r="AF181" s="10"/>
      <c r="AG181" s="10"/>
      <c r="AH181" s="10"/>
      <c r="AI181" s="10" t="s">
        <v>604</v>
      </c>
      <c r="AJ181" s="5" t="s">
        <v>317</v>
      </c>
      <c r="AK181" s="5"/>
      <c r="AL181" s="5"/>
      <c r="AM181" t="s">
        <v>1571</v>
      </c>
      <c r="AN181" t="s">
        <v>84</v>
      </c>
    </row>
    <row r="182" spans="1:40" ht="15" customHeight="1">
      <c r="A182" t="s">
        <v>1572</v>
      </c>
      <c r="B182" t="s">
        <v>1573</v>
      </c>
      <c r="C182" s="3">
        <v>45825</v>
      </c>
      <c r="D182" s="3">
        <v>45838</v>
      </c>
      <c r="E182" t="s">
        <v>47</v>
      </c>
      <c r="H182" t="s">
        <v>1574</v>
      </c>
      <c r="I182" t="s">
        <v>1575</v>
      </c>
      <c r="K182" t="s">
        <v>1576</v>
      </c>
      <c r="M182" t="s">
        <v>43</v>
      </c>
      <c r="N182" t="s">
        <v>609</v>
      </c>
      <c r="O182" t="s">
        <v>982</v>
      </c>
      <c r="R182" t="s">
        <v>1577</v>
      </c>
      <c r="S182" t="s">
        <v>1578</v>
      </c>
      <c r="T182" t="s">
        <v>1579</v>
      </c>
      <c r="U182" s="5"/>
      <c r="V182" s="5" t="s">
        <v>1580</v>
      </c>
      <c r="W182" s="5"/>
      <c r="X182" s="5"/>
      <c r="Y182" s="5"/>
      <c r="Z182" s="5"/>
      <c r="AA182" s="5"/>
      <c r="AB182" s="5"/>
      <c r="AC182" s="10" t="s">
        <v>603</v>
      </c>
      <c r="AD182" s="10"/>
      <c r="AE182" s="10"/>
      <c r="AF182" s="10"/>
      <c r="AG182" s="10"/>
      <c r="AH182" s="10"/>
      <c r="AI182" s="10" t="s">
        <v>604</v>
      </c>
      <c r="AJ182" s="5" t="s">
        <v>516</v>
      </c>
      <c r="AK182" s="5"/>
      <c r="AL182" s="5"/>
      <c r="AM182" t="s">
        <v>1581</v>
      </c>
      <c r="AN182" t="s">
        <v>84</v>
      </c>
    </row>
    <row r="183" spans="1:40" ht="15" customHeight="1">
      <c r="A183" t="s">
        <v>1582</v>
      </c>
      <c r="B183" t="s">
        <v>1583</v>
      </c>
      <c r="C183" s="3">
        <v>45825</v>
      </c>
      <c r="D183" s="3">
        <v>45826</v>
      </c>
      <c r="E183" t="s">
        <v>47</v>
      </c>
      <c r="H183" t="s">
        <v>1078</v>
      </c>
      <c r="I183" t="s">
        <v>1584</v>
      </c>
      <c r="K183" t="s">
        <v>1585</v>
      </c>
      <c r="M183" t="s">
        <v>43</v>
      </c>
      <c r="N183" t="s">
        <v>599</v>
      </c>
      <c r="O183" t="s">
        <v>982</v>
      </c>
      <c r="R183" t="s">
        <v>1586</v>
      </c>
      <c r="S183" t="s">
        <v>1587</v>
      </c>
      <c r="T183" t="s">
        <v>1588</v>
      </c>
      <c r="U183" s="5"/>
      <c r="V183" s="5" t="s">
        <v>1589</v>
      </c>
      <c r="W183" s="5"/>
      <c r="X183" s="5"/>
      <c r="Y183" s="5"/>
      <c r="Z183" s="5"/>
      <c r="AA183" s="5"/>
      <c r="AB183" s="5"/>
      <c r="AC183" s="10" t="s">
        <v>603</v>
      </c>
      <c r="AD183" s="10"/>
      <c r="AE183" s="10"/>
      <c r="AF183" s="10"/>
      <c r="AG183" s="10"/>
      <c r="AH183" s="10"/>
      <c r="AI183" s="10" t="s">
        <v>604</v>
      </c>
      <c r="AJ183" s="5" t="s">
        <v>1590</v>
      </c>
      <c r="AK183" s="5"/>
      <c r="AL183" s="5"/>
      <c r="AM183" t="s">
        <v>1591</v>
      </c>
      <c r="AN183" t="s">
        <v>84</v>
      </c>
    </row>
    <row r="184" spans="1:40" ht="15" customHeight="1">
      <c r="A184" t="s">
        <v>1592</v>
      </c>
      <c r="B184" t="s">
        <v>1593</v>
      </c>
      <c r="C184" s="3">
        <v>45826</v>
      </c>
      <c r="D184" s="3">
        <v>45827</v>
      </c>
      <c r="E184" t="s">
        <v>47</v>
      </c>
      <c r="H184" t="s">
        <v>787</v>
      </c>
      <c r="I184" t="s">
        <v>252</v>
      </c>
      <c r="K184" t="s">
        <v>252</v>
      </c>
      <c r="M184" t="s">
        <v>43</v>
      </c>
      <c r="N184" t="s">
        <v>599</v>
      </c>
      <c r="O184" t="s">
        <v>1539</v>
      </c>
      <c r="R184" t="s">
        <v>1594</v>
      </c>
      <c r="S184" t="s">
        <v>1595</v>
      </c>
      <c r="T184" t="s">
        <v>1596</v>
      </c>
      <c r="U184" s="5"/>
      <c r="V184" s="5" t="s">
        <v>1597</v>
      </c>
      <c r="W184" s="5"/>
      <c r="X184" s="5"/>
      <c r="Y184" s="5"/>
      <c r="Z184" s="5"/>
      <c r="AA184" s="5"/>
      <c r="AB184" s="5"/>
      <c r="AC184" s="10" t="s">
        <v>603</v>
      </c>
      <c r="AD184" s="10"/>
      <c r="AE184" s="10"/>
      <c r="AF184" s="10"/>
      <c r="AG184" s="10"/>
      <c r="AH184" s="10"/>
      <c r="AI184" s="10" t="s">
        <v>604</v>
      </c>
      <c r="AJ184" s="5" t="s">
        <v>1421</v>
      </c>
      <c r="AK184" s="5"/>
      <c r="AL184" s="5"/>
      <c r="AM184" t="s">
        <v>1598</v>
      </c>
      <c r="AN184" t="s">
        <v>1176</v>
      </c>
    </row>
    <row r="185" spans="1:40" ht="15" customHeight="1">
      <c r="A185" t="s">
        <v>1599</v>
      </c>
      <c r="B185" t="s">
        <v>1600</v>
      </c>
      <c r="C185" s="3">
        <v>45826</v>
      </c>
      <c r="D185" s="3">
        <v>45826</v>
      </c>
      <c r="E185" t="s">
        <v>47</v>
      </c>
      <c r="H185" t="s">
        <v>904</v>
      </c>
      <c r="I185" t="s">
        <v>65</v>
      </c>
      <c r="K185" t="s">
        <v>65</v>
      </c>
      <c r="M185" t="s">
        <v>43</v>
      </c>
      <c r="N185" t="s">
        <v>609</v>
      </c>
      <c r="O185" t="s">
        <v>982</v>
      </c>
      <c r="R185" t="s">
        <v>1601</v>
      </c>
      <c r="S185" t="s">
        <v>1602</v>
      </c>
      <c r="T185" t="s">
        <v>1603</v>
      </c>
      <c r="U185" s="5"/>
      <c r="V185" s="5" t="s">
        <v>1604</v>
      </c>
      <c r="W185" s="5"/>
      <c r="X185" s="5"/>
      <c r="Y185" s="5"/>
      <c r="Z185" s="5"/>
      <c r="AA185" s="5"/>
      <c r="AB185" s="5"/>
      <c r="AC185" s="10" t="s">
        <v>603</v>
      </c>
      <c r="AD185" s="10"/>
      <c r="AE185" s="10"/>
      <c r="AF185" s="10"/>
      <c r="AG185" s="10"/>
      <c r="AH185" s="10"/>
      <c r="AI185" s="10" t="s">
        <v>604</v>
      </c>
      <c r="AJ185" s="5" t="s">
        <v>1605</v>
      </c>
      <c r="AK185" s="5"/>
      <c r="AL185" s="5"/>
      <c r="AM185" t="s">
        <v>1606</v>
      </c>
      <c r="AN185" t="s">
        <v>84</v>
      </c>
    </row>
    <row r="186" spans="1:40" ht="15" customHeight="1">
      <c r="A186" t="s">
        <v>1607</v>
      </c>
      <c r="B186" t="s">
        <v>1608</v>
      </c>
      <c r="C186" s="3">
        <v>45826</v>
      </c>
      <c r="D186" s="3">
        <v>45826</v>
      </c>
      <c r="E186" t="s">
        <v>47</v>
      </c>
      <c r="H186" t="s">
        <v>1234</v>
      </c>
      <c r="I186" t="s">
        <v>352</v>
      </c>
      <c r="K186" t="s">
        <v>1609</v>
      </c>
      <c r="M186" t="s">
        <v>43</v>
      </c>
      <c r="N186" t="s">
        <v>632</v>
      </c>
      <c r="O186" t="s">
        <v>982</v>
      </c>
      <c r="R186" t="s">
        <v>1610</v>
      </c>
      <c r="S186" t="s">
        <v>1611</v>
      </c>
      <c r="T186" t="s">
        <v>1612</v>
      </c>
      <c r="U186" s="5"/>
      <c r="V186" s="5" t="s">
        <v>1613</v>
      </c>
      <c r="W186" s="5"/>
      <c r="X186" s="5"/>
      <c r="Y186" s="5"/>
      <c r="Z186" s="5"/>
      <c r="AA186" s="5"/>
      <c r="AB186" s="5"/>
      <c r="AC186" s="10" t="s">
        <v>603</v>
      </c>
      <c r="AD186" s="10"/>
      <c r="AE186" s="10"/>
      <c r="AF186" s="10"/>
      <c r="AG186" s="10"/>
      <c r="AH186" s="10"/>
      <c r="AI186" s="10" t="s">
        <v>604</v>
      </c>
      <c r="AJ186" s="5" t="s">
        <v>1598</v>
      </c>
      <c r="AK186" s="5"/>
      <c r="AL186" s="5"/>
      <c r="AM186" t="s">
        <v>1614</v>
      </c>
      <c r="AN186" t="s">
        <v>84</v>
      </c>
    </row>
    <row r="187" spans="1:40" ht="15" customHeight="1">
      <c r="A187" t="s">
        <v>1615</v>
      </c>
      <c r="B187" t="s">
        <v>1616</v>
      </c>
      <c r="C187" s="3">
        <v>45827</v>
      </c>
      <c r="D187" s="3">
        <v>45827</v>
      </c>
      <c r="E187" t="s">
        <v>41</v>
      </c>
      <c r="H187" t="s">
        <v>1617</v>
      </c>
      <c r="I187" t="s">
        <v>150</v>
      </c>
      <c r="K187" t="s">
        <v>1618</v>
      </c>
      <c r="M187" t="s">
        <v>43</v>
      </c>
      <c r="N187" t="s">
        <v>609</v>
      </c>
      <c r="O187" t="s">
        <v>982</v>
      </c>
      <c r="R187" t="s">
        <v>1619</v>
      </c>
      <c r="S187" t="s">
        <v>1620</v>
      </c>
      <c r="T187" t="s">
        <v>1621</v>
      </c>
      <c r="U187" s="5"/>
      <c r="V187" s="5" t="s">
        <v>1622</v>
      </c>
      <c r="W187" s="5"/>
      <c r="X187" s="5"/>
      <c r="Y187" s="5"/>
      <c r="Z187" s="5"/>
      <c r="AA187" s="5"/>
      <c r="AB187" s="5"/>
      <c r="AC187" s="10" t="s">
        <v>603</v>
      </c>
      <c r="AD187" s="10"/>
      <c r="AE187" s="10"/>
      <c r="AF187" s="10"/>
      <c r="AG187" s="10"/>
      <c r="AH187" s="10"/>
      <c r="AI187" s="10" t="s">
        <v>604</v>
      </c>
      <c r="AJ187" s="5" t="s">
        <v>317</v>
      </c>
      <c r="AK187" s="5"/>
      <c r="AL187" s="5"/>
      <c r="AM187" t="s">
        <v>1623</v>
      </c>
      <c r="AN187" t="s">
        <v>84</v>
      </c>
    </row>
    <row r="188" spans="1:40" ht="15" customHeight="1">
      <c r="A188" t="s">
        <v>1624</v>
      </c>
      <c r="B188" t="s">
        <v>1625</v>
      </c>
      <c r="C188" s="3">
        <v>45827</v>
      </c>
      <c r="D188" s="3">
        <v>45827</v>
      </c>
      <c r="E188" t="s">
        <v>41</v>
      </c>
      <c r="H188" t="s">
        <v>1626</v>
      </c>
      <c r="I188" t="s">
        <v>1308</v>
      </c>
      <c r="K188" t="s">
        <v>1627</v>
      </c>
      <c r="M188" t="s">
        <v>43</v>
      </c>
      <c r="N188" t="s">
        <v>609</v>
      </c>
      <c r="O188" t="s">
        <v>982</v>
      </c>
      <c r="R188" t="s">
        <v>320</v>
      </c>
      <c r="S188" t="s">
        <v>1628</v>
      </c>
      <c r="T188" t="s">
        <v>1629</v>
      </c>
      <c r="U188" s="5"/>
      <c r="V188" s="5" t="s">
        <v>1630</v>
      </c>
      <c r="W188" s="5"/>
      <c r="X188" s="5"/>
      <c r="Y188" s="5"/>
      <c r="Z188" s="5"/>
      <c r="AA188" s="5"/>
      <c r="AB188" s="5"/>
      <c r="AC188" s="10" t="s">
        <v>603</v>
      </c>
      <c r="AD188" s="10"/>
      <c r="AE188" s="10"/>
      <c r="AF188" s="10"/>
      <c r="AG188" s="10"/>
      <c r="AH188" s="10"/>
      <c r="AI188" s="10" t="s">
        <v>604</v>
      </c>
      <c r="AJ188" s="5" t="s">
        <v>1631</v>
      </c>
      <c r="AK188" s="5"/>
      <c r="AL188" s="5"/>
      <c r="AM188" t="s">
        <v>1632</v>
      </c>
      <c r="AN188" t="s">
        <v>84</v>
      </c>
    </row>
    <row r="189" spans="1:40" ht="15" customHeight="1">
      <c r="A189" t="s">
        <v>1633</v>
      </c>
      <c r="B189" t="s">
        <v>1634</v>
      </c>
      <c r="C189" s="3">
        <v>45831</v>
      </c>
      <c r="D189" s="3">
        <v>45831</v>
      </c>
      <c r="E189" t="s">
        <v>457</v>
      </c>
      <c r="H189" t="s">
        <v>787</v>
      </c>
      <c r="I189" t="s">
        <v>252</v>
      </c>
      <c r="K189" t="s">
        <v>252</v>
      </c>
      <c r="M189" t="s">
        <v>43</v>
      </c>
      <c r="N189" t="s">
        <v>599</v>
      </c>
      <c r="O189" t="s">
        <v>571</v>
      </c>
      <c r="R189" t="s">
        <v>958</v>
      </c>
      <c r="S189" t="s">
        <v>1595</v>
      </c>
      <c r="T189" t="s">
        <v>1635</v>
      </c>
      <c r="U189" s="5"/>
      <c r="V189" s="5" t="s">
        <v>1636</v>
      </c>
      <c r="W189" s="5"/>
      <c r="X189" s="5"/>
      <c r="Y189" s="5"/>
      <c r="Z189" s="5"/>
      <c r="AA189" s="5"/>
      <c r="AB189" s="5"/>
      <c r="AC189" s="10" t="s">
        <v>603</v>
      </c>
      <c r="AD189" s="10"/>
      <c r="AE189" s="10"/>
      <c r="AF189" s="10"/>
      <c r="AG189" s="10"/>
      <c r="AH189" s="10"/>
      <c r="AI189" s="10" t="s">
        <v>604</v>
      </c>
      <c r="AJ189" s="5" t="s">
        <v>1421</v>
      </c>
      <c r="AK189" s="5"/>
      <c r="AL189" s="5"/>
      <c r="AM189" t="s">
        <v>317</v>
      </c>
      <c r="AN189" t="s">
        <v>1176</v>
      </c>
    </row>
    <row r="190" spans="1:40" ht="15" customHeight="1">
      <c r="A190" t="s">
        <v>1637</v>
      </c>
      <c r="B190" t="s">
        <v>1638</v>
      </c>
      <c r="C190" s="3">
        <v>45832</v>
      </c>
      <c r="D190" s="3">
        <v>45832</v>
      </c>
      <c r="E190" t="s">
        <v>41</v>
      </c>
      <c r="H190" t="s">
        <v>1092</v>
      </c>
      <c r="I190" t="s">
        <v>54</v>
      </c>
      <c r="K190" t="s">
        <v>1639</v>
      </c>
      <c r="M190" t="s">
        <v>43</v>
      </c>
      <c r="N190" t="s">
        <v>599</v>
      </c>
      <c r="O190" t="s">
        <v>551</v>
      </c>
      <c r="R190" t="s">
        <v>1640</v>
      </c>
      <c r="S190" t="s">
        <v>1641</v>
      </c>
      <c r="T190" t="s">
        <v>1642</v>
      </c>
      <c r="U190" s="5"/>
      <c r="V190" s="5" t="s">
        <v>1643</v>
      </c>
      <c r="W190" s="5"/>
      <c r="X190" s="5"/>
      <c r="Y190" s="5"/>
      <c r="Z190" s="5"/>
      <c r="AA190" s="5"/>
      <c r="AB190" s="5"/>
      <c r="AC190" s="10" t="s">
        <v>603</v>
      </c>
      <c r="AD190" s="10"/>
      <c r="AE190" s="10"/>
      <c r="AF190" s="10"/>
      <c r="AG190" s="10"/>
      <c r="AH190" s="10"/>
      <c r="AI190" s="10" t="s">
        <v>604</v>
      </c>
      <c r="AJ190" s="5" t="s">
        <v>1644</v>
      </c>
      <c r="AK190" s="5"/>
      <c r="AL190" s="5"/>
      <c r="AM190" t="s">
        <v>1645</v>
      </c>
      <c r="AN190" t="s">
        <v>84</v>
      </c>
    </row>
    <row r="191" spans="1:40" ht="15" customHeight="1">
      <c r="A191" t="s">
        <v>1646</v>
      </c>
      <c r="B191" t="s">
        <v>1647</v>
      </c>
      <c r="C191" s="3">
        <v>45833</v>
      </c>
      <c r="D191" s="3">
        <v>45838</v>
      </c>
      <c r="E191" t="s">
        <v>41</v>
      </c>
      <c r="H191" t="s">
        <v>1648</v>
      </c>
      <c r="I191" t="s">
        <v>449</v>
      </c>
      <c r="K191" t="s">
        <v>449</v>
      </c>
      <c r="M191" t="s">
        <v>43</v>
      </c>
      <c r="N191" t="s">
        <v>632</v>
      </c>
      <c r="O191" t="s">
        <v>982</v>
      </c>
      <c r="R191" t="s">
        <v>320</v>
      </c>
      <c r="S191" t="s">
        <v>1649</v>
      </c>
      <c r="T191" t="s">
        <v>1650</v>
      </c>
      <c r="U191" s="5"/>
      <c r="V191" s="5" t="s">
        <v>1651</v>
      </c>
      <c r="W191" s="5"/>
      <c r="X191" s="5"/>
      <c r="Y191" s="5"/>
      <c r="Z191" s="5"/>
      <c r="AA191" s="5"/>
      <c r="AB191" s="5"/>
      <c r="AC191" s="10" t="s">
        <v>603</v>
      </c>
      <c r="AD191" s="10"/>
      <c r="AE191" s="10"/>
      <c r="AF191" s="10"/>
      <c r="AG191" s="10"/>
      <c r="AH191" s="10"/>
      <c r="AI191" s="10" t="s">
        <v>604</v>
      </c>
      <c r="AJ191" s="5" t="s">
        <v>1652</v>
      </c>
      <c r="AK191" s="5"/>
      <c r="AL191" s="5"/>
      <c r="AM191" t="s">
        <v>1653</v>
      </c>
      <c r="AN191" t="s">
        <v>84</v>
      </c>
    </row>
    <row r="192" spans="1:40" ht="15" customHeight="1">
      <c r="A192" t="s">
        <v>1654</v>
      </c>
      <c r="B192" t="s">
        <v>1655</v>
      </c>
      <c r="C192" s="3">
        <v>45833</v>
      </c>
      <c r="D192" s="3">
        <v>45834</v>
      </c>
      <c r="E192" t="s">
        <v>41</v>
      </c>
      <c r="H192" t="s">
        <v>884</v>
      </c>
      <c r="I192" t="s">
        <v>181</v>
      </c>
      <c r="K192" t="s">
        <v>181</v>
      </c>
      <c r="M192" t="s">
        <v>43</v>
      </c>
      <c r="N192" t="s">
        <v>599</v>
      </c>
      <c r="O192" t="s">
        <v>571</v>
      </c>
      <c r="R192" t="s">
        <v>173</v>
      </c>
      <c r="S192" t="s">
        <v>1553</v>
      </c>
      <c r="T192" t="s">
        <v>1656</v>
      </c>
      <c r="U192" s="5"/>
      <c r="V192" s="5" t="s">
        <v>1657</v>
      </c>
      <c r="W192" s="5"/>
      <c r="X192" s="5"/>
      <c r="Y192" s="5"/>
      <c r="Z192" s="5"/>
      <c r="AA192" s="5"/>
      <c r="AB192" s="5"/>
      <c r="AC192" s="10" t="s">
        <v>603</v>
      </c>
      <c r="AD192" s="10"/>
      <c r="AE192" s="10"/>
      <c r="AF192" s="10"/>
      <c r="AG192" s="10"/>
      <c r="AH192" s="10"/>
      <c r="AI192" s="10" t="s">
        <v>604</v>
      </c>
      <c r="AJ192" s="5" t="s">
        <v>1393</v>
      </c>
      <c r="AK192" s="5"/>
      <c r="AL192" s="5"/>
      <c r="AM192" t="s">
        <v>1658</v>
      </c>
      <c r="AN192" t="s">
        <v>1176</v>
      </c>
    </row>
    <row r="193" spans="1:40" ht="15" customHeight="1">
      <c r="A193" t="s">
        <v>1659</v>
      </c>
      <c r="B193" t="s">
        <v>1660</v>
      </c>
      <c r="C193" s="3">
        <v>45839</v>
      </c>
      <c r="D193" s="3">
        <v>45841</v>
      </c>
      <c r="E193" t="s">
        <v>41</v>
      </c>
      <c r="H193" t="s">
        <v>1661</v>
      </c>
      <c r="I193" t="s">
        <v>1662</v>
      </c>
      <c r="K193" t="s">
        <v>1663</v>
      </c>
      <c r="M193" t="s">
        <v>43</v>
      </c>
      <c r="N193" t="s">
        <v>599</v>
      </c>
      <c r="O193" t="s">
        <v>1664</v>
      </c>
      <c r="R193" t="s">
        <v>1665</v>
      </c>
      <c r="S193" t="s">
        <v>1666</v>
      </c>
      <c r="T193" t="s">
        <v>1667</v>
      </c>
      <c r="U193" s="5"/>
      <c r="V193" s="5" t="s">
        <v>1668</v>
      </c>
      <c r="W193" s="5"/>
      <c r="X193" s="5"/>
      <c r="Y193" s="5"/>
      <c r="Z193" s="5"/>
      <c r="AA193" s="5"/>
      <c r="AB193" s="5"/>
      <c r="AC193" s="10" t="s">
        <v>603</v>
      </c>
      <c r="AD193" s="10"/>
      <c r="AE193" s="10"/>
      <c r="AF193" s="10"/>
      <c r="AG193" s="10"/>
      <c r="AH193" s="10"/>
      <c r="AI193" s="10" t="s">
        <v>604</v>
      </c>
      <c r="AJ193" s="5" t="s">
        <v>1669</v>
      </c>
      <c r="AK193" s="5"/>
      <c r="AL193" s="5"/>
      <c r="AM193" t="s">
        <v>1670</v>
      </c>
      <c r="AN193" t="s">
        <v>1176</v>
      </c>
    </row>
    <row r="194" spans="1:40" ht="15" customHeight="1">
      <c r="A194" t="s">
        <v>1671</v>
      </c>
      <c r="B194" t="s">
        <v>1672</v>
      </c>
      <c r="C194" s="3">
        <v>45841</v>
      </c>
      <c r="D194" s="3">
        <v>45845</v>
      </c>
      <c r="E194" t="s">
        <v>41</v>
      </c>
      <c r="H194" t="s">
        <v>794</v>
      </c>
      <c r="I194" t="s">
        <v>496</v>
      </c>
      <c r="J194" t="s">
        <v>496</v>
      </c>
      <c r="K194" t="s">
        <v>125</v>
      </c>
      <c r="M194" t="s">
        <v>43</v>
      </c>
      <c r="N194" t="s">
        <v>609</v>
      </c>
      <c r="O194" t="s">
        <v>1673</v>
      </c>
      <c r="R194" t="s">
        <v>97</v>
      </c>
      <c r="S194" t="s">
        <v>1674</v>
      </c>
      <c r="T194" t="s">
        <v>1675</v>
      </c>
      <c r="U194" s="5" t="s">
        <v>1676</v>
      </c>
      <c r="V194" s="5" t="s">
        <v>1677</v>
      </c>
      <c r="W194" s="5"/>
      <c r="X194" s="5"/>
      <c r="Y194" s="5"/>
      <c r="Z194" s="5"/>
      <c r="AA194" s="5"/>
      <c r="AB194" s="5"/>
      <c r="AC194" s="10" t="s">
        <v>603</v>
      </c>
      <c r="AD194" s="10"/>
      <c r="AE194" s="10"/>
      <c r="AF194" s="10"/>
      <c r="AG194" s="10"/>
      <c r="AH194" s="10"/>
      <c r="AI194" s="10" t="s">
        <v>604</v>
      </c>
      <c r="AJ194" s="5" t="s">
        <v>1678</v>
      </c>
      <c r="AK194" s="5"/>
      <c r="AL194" s="5"/>
      <c r="AM194" t="s">
        <v>1679</v>
      </c>
      <c r="AN194" t="s">
        <v>74</v>
      </c>
    </row>
    <row r="195" spans="1:40" ht="15" customHeight="1">
      <c r="A195" t="s">
        <v>1680</v>
      </c>
      <c r="B195" t="s">
        <v>1681</v>
      </c>
      <c r="C195" s="3">
        <v>45845</v>
      </c>
      <c r="D195" s="3">
        <v>45845</v>
      </c>
      <c r="E195" t="s">
        <v>41</v>
      </c>
      <c r="G195" t="s">
        <v>1682</v>
      </c>
      <c r="H195" t="s">
        <v>873</v>
      </c>
      <c r="I195" t="s">
        <v>159</v>
      </c>
      <c r="J195" t="s">
        <v>1683</v>
      </c>
      <c r="K195" t="s">
        <v>1409</v>
      </c>
      <c r="M195" t="s">
        <v>43</v>
      </c>
      <c r="N195" t="s">
        <v>609</v>
      </c>
      <c r="O195" t="s">
        <v>982</v>
      </c>
      <c r="R195" t="s">
        <v>320</v>
      </c>
      <c r="S195" t="s">
        <v>1684</v>
      </c>
      <c r="T195" t="s">
        <v>1685</v>
      </c>
      <c r="U195" s="5" t="s">
        <v>1686</v>
      </c>
      <c r="V195" s="5" t="s">
        <v>1687</v>
      </c>
      <c r="W195" s="5"/>
      <c r="X195" s="5"/>
      <c r="Y195" s="5"/>
      <c r="Z195" s="5"/>
      <c r="AA195" s="5"/>
      <c r="AB195" s="5"/>
      <c r="AC195" s="10" t="s">
        <v>603</v>
      </c>
      <c r="AD195" s="10"/>
      <c r="AE195" s="10"/>
      <c r="AF195" s="10"/>
      <c r="AG195" s="10"/>
      <c r="AH195" s="10"/>
      <c r="AI195" s="10" t="s">
        <v>604</v>
      </c>
      <c r="AJ195" s="5" t="s">
        <v>1688</v>
      </c>
      <c r="AK195" s="5"/>
      <c r="AL195" s="5"/>
      <c r="AM195" t="s">
        <v>1689</v>
      </c>
      <c r="AN195" t="s">
        <v>1176</v>
      </c>
    </row>
    <row r="196" spans="1:40" ht="15" customHeight="1">
      <c r="A196" t="s">
        <v>1690</v>
      </c>
      <c r="B196" t="s">
        <v>1691</v>
      </c>
      <c r="C196" s="3">
        <v>45845</v>
      </c>
      <c r="D196" s="3">
        <v>45845</v>
      </c>
      <c r="E196" t="s">
        <v>41</v>
      </c>
      <c r="G196" t="s">
        <v>1682</v>
      </c>
      <c r="H196" t="s">
        <v>873</v>
      </c>
      <c r="I196" t="s">
        <v>159</v>
      </c>
      <c r="J196" t="s">
        <v>1683</v>
      </c>
      <c r="K196" t="s">
        <v>1409</v>
      </c>
      <c r="M196" t="s">
        <v>43</v>
      </c>
      <c r="N196" t="s">
        <v>609</v>
      </c>
      <c r="O196" t="s">
        <v>982</v>
      </c>
      <c r="R196" t="s">
        <v>320</v>
      </c>
      <c r="S196" t="s">
        <v>1692</v>
      </c>
      <c r="T196" t="s">
        <v>1693</v>
      </c>
      <c r="U196" s="5" t="s">
        <v>1694</v>
      </c>
      <c r="V196" s="5" t="s">
        <v>1695</v>
      </c>
      <c r="W196" s="5"/>
      <c r="X196" s="5"/>
      <c r="Y196" s="5"/>
      <c r="Z196" s="5"/>
      <c r="AA196" s="5"/>
      <c r="AB196" s="5"/>
      <c r="AC196" s="10" t="s">
        <v>603</v>
      </c>
      <c r="AD196" s="10"/>
      <c r="AE196" s="10"/>
      <c r="AF196" s="10"/>
      <c r="AG196" s="10"/>
      <c r="AH196" s="10"/>
      <c r="AI196" s="10" t="s">
        <v>604</v>
      </c>
      <c r="AJ196" s="5" t="s">
        <v>1688</v>
      </c>
      <c r="AK196" s="5"/>
      <c r="AL196" s="5"/>
      <c r="AM196" t="s">
        <v>1696</v>
      </c>
      <c r="AN196" t="s">
        <v>1176</v>
      </c>
    </row>
    <row r="197" spans="1:40" ht="15" customHeight="1">
      <c r="A197" t="s">
        <v>1697</v>
      </c>
      <c r="B197" t="s">
        <v>1698</v>
      </c>
      <c r="C197" s="3">
        <v>45846</v>
      </c>
      <c r="D197" s="3">
        <v>45848</v>
      </c>
      <c r="E197" t="s">
        <v>41</v>
      </c>
      <c r="G197" t="s">
        <v>1699</v>
      </c>
      <c r="H197" t="s">
        <v>884</v>
      </c>
      <c r="I197" t="s">
        <v>181</v>
      </c>
      <c r="J197" t="s">
        <v>1683</v>
      </c>
      <c r="K197" t="s">
        <v>1700</v>
      </c>
      <c r="M197" t="s">
        <v>43</v>
      </c>
      <c r="N197" t="s">
        <v>599</v>
      </c>
      <c r="O197" t="s">
        <v>571</v>
      </c>
      <c r="R197" t="s">
        <v>1701</v>
      </c>
      <c r="S197" t="s">
        <v>1702</v>
      </c>
      <c r="T197" t="s">
        <v>1703</v>
      </c>
      <c r="U197" s="5" t="s">
        <v>1704</v>
      </c>
      <c r="V197" s="5" t="s">
        <v>1705</v>
      </c>
      <c r="W197" s="5"/>
      <c r="X197" s="5"/>
      <c r="Y197" s="5"/>
      <c r="Z197" s="5"/>
      <c r="AA197" s="5"/>
      <c r="AB197" s="5"/>
      <c r="AC197" s="10" t="s">
        <v>603</v>
      </c>
      <c r="AD197" s="10"/>
      <c r="AE197" s="10"/>
      <c r="AF197" s="10"/>
      <c r="AG197" s="10"/>
      <c r="AH197" s="10"/>
      <c r="AI197" s="10" t="s">
        <v>604</v>
      </c>
      <c r="AJ197" s="5" t="s">
        <v>1706</v>
      </c>
      <c r="AK197" s="5"/>
      <c r="AL197" s="5"/>
      <c r="AM197" t="s">
        <v>1707</v>
      </c>
      <c r="AN197" t="s">
        <v>1176</v>
      </c>
    </row>
    <row r="198" spans="1:40" ht="15" customHeight="1">
      <c r="A198" t="s">
        <v>1708</v>
      </c>
      <c r="B198" t="s">
        <v>1709</v>
      </c>
      <c r="C198" s="3">
        <v>45848</v>
      </c>
      <c r="D198" s="3">
        <v>45848</v>
      </c>
      <c r="E198" t="s">
        <v>41</v>
      </c>
      <c r="G198" t="s">
        <v>1710</v>
      </c>
      <c r="H198" t="s">
        <v>850</v>
      </c>
      <c r="I198" t="s">
        <v>48</v>
      </c>
      <c r="J198" t="s">
        <v>1711</v>
      </c>
      <c r="K198" t="s">
        <v>48</v>
      </c>
      <c r="M198" t="s">
        <v>43</v>
      </c>
      <c r="N198" t="s">
        <v>599</v>
      </c>
      <c r="O198" t="s">
        <v>571</v>
      </c>
      <c r="R198" t="s">
        <v>173</v>
      </c>
      <c r="S198" t="s">
        <v>1712</v>
      </c>
      <c r="T198" t="s">
        <v>1713</v>
      </c>
      <c r="U198" s="5" t="s">
        <v>1714</v>
      </c>
      <c r="V198" s="5" t="s">
        <v>1715</v>
      </c>
      <c r="W198" s="5"/>
      <c r="X198" s="5"/>
      <c r="Y198" s="5"/>
      <c r="Z198" s="5"/>
      <c r="AA198" s="5"/>
      <c r="AB198" s="5"/>
      <c r="AC198" s="10" t="s">
        <v>603</v>
      </c>
      <c r="AD198" s="10"/>
      <c r="AE198" s="10"/>
      <c r="AF198" s="10"/>
      <c r="AG198" s="10"/>
      <c r="AH198" s="10"/>
      <c r="AI198" s="10" t="s">
        <v>604</v>
      </c>
      <c r="AJ198" s="5" t="s">
        <v>1716</v>
      </c>
      <c r="AK198" s="5"/>
      <c r="AL198" s="5"/>
      <c r="AM198" t="s">
        <v>1157</v>
      </c>
      <c r="AN198" t="s">
        <v>1176</v>
      </c>
    </row>
    <row r="199" spans="1:40" ht="15" customHeight="1">
      <c r="A199" t="s">
        <v>1717</v>
      </c>
      <c r="B199" t="s">
        <v>1718</v>
      </c>
      <c r="C199" s="3">
        <v>45848</v>
      </c>
      <c r="D199" s="3">
        <v>45852</v>
      </c>
      <c r="E199" t="s">
        <v>41</v>
      </c>
      <c r="G199" t="s">
        <v>1719</v>
      </c>
      <c r="H199" t="s">
        <v>826</v>
      </c>
      <c r="I199" t="s">
        <v>1045</v>
      </c>
      <c r="J199" t="s">
        <v>1046</v>
      </c>
      <c r="K199" t="s">
        <v>1046</v>
      </c>
      <c r="M199" t="s">
        <v>43</v>
      </c>
      <c r="N199" t="s">
        <v>609</v>
      </c>
      <c r="O199" t="s">
        <v>1720</v>
      </c>
      <c r="R199" t="s">
        <v>191</v>
      </c>
      <c r="S199" t="s">
        <v>1721</v>
      </c>
      <c r="T199" t="s">
        <v>1722</v>
      </c>
      <c r="U199" s="5" t="s">
        <v>1723</v>
      </c>
      <c r="V199" s="5" t="s">
        <v>1724</v>
      </c>
      <c r="W199" s="5"/>
      <c r="X199" s="5"/>
      <c r="Y199" s="5"/>
      <c r="Z199" s="5"/>
      <c r="AA199" s="5"/>
      <c r="AB199" s="5"/>
      <c r="AC199" s="10" t="s">
        <v>603</v>
      </c>
      <c r="AD199" s="10"/>
      <c r="AE199" s="10"/>
      <c r="AF199" s="10"/>
      <c r="AG199" s="10"/>
      <c r="AH199" s="10"/>
      <c r="AI199" s="10" t="s">
        <v>604</v>
      </c>
      <c r="AJ199" s="5" t="s">
        <v>1725</v>
      </c>
      <c r="AK199" s="5"/>
      <c r="AL199" s="5"/>
      <c r="AM199" t="s">
        <v>1726</v>
      </c>
      <c r="AN199" t="s">
        <v>585</v>
      </c>
    </row>
    <row r="200" spans="1:40" ht="15" customHeight="1">
      <c r="A200" t="s">
        <v>1727</v>
      </c>
      <c r="B200" t="s">
        <v>1728</v>
      </c>
      <c r="C200" s="3">
        <v>45852</v>
      </c>
      <c r="D200" s="3">
        <v>45854</v>
      </c>
      <c r="E200" t="s">
        <v>47</v>
      </c>
      <c r="G200" t="s">
        <v>1729</v>
      </c>
      <c r="H200" t="s">
        <v>884</v>
      </c>
      <c r="I200" t="s">
        <v>181</v>
      </c>
      <c r="J200" t="s">
        <v>1711</v>
      </c>
      <c r="K200" t="s">
        <v>181</v>
      </c>
      <c r="M200" t="s">
        <v>43</v>
      </c>
      <c r="N200" t="s">
        <v>599</v>
      </c>
      <c r="O200" t="s">
        <v>571</v>
      </c>
      <c r="R200" t="s">
        <v>852</v>
      </c>
      <c r="S200" t="s">
        <v>1730</v>
      </c>
      <c r="T200" t="s">
        <v>1731</v>
      </c>
      <c r="U200" s="5" t="s">
        <v>1732</v>
      </c>
      <c r="V200" s="5" t="s">
        <v>1733</v>
      </c>
      <c r="W200" s="5"/>
      <c r="X200" s="5"/>
      <c r="Y200" s="5"/>
      <c r="Z200" s="5"/>
      <c r="AA200" s="5"/>
      <c r="AB200" s="5"/>
      <c r="AC200" s="10" t="s">
        <v>603</v>
      </c>
      <c r="AD200" s="10"/>
      <c r="AE200" s="10"/>
      <c r="AF200" s="10"/>
      <c r="AG200" s="10"/>
      <c r="AH200" s="10"/>
      <c r="AI200" s="10" t="s">
        <v>604</v>
      </c>
      <c r="AJ200" s="5" t="s">
        <v>1734</v>
      </c>
      <c r="AK200" s="5"/>
      <c r="AL200" s="5"/>
      <c r="AM200" t="s">
        <v>1735</v>
      </c>
      <c r="AN200" t="s">
        <v>1176</v>
      </c>
    </row>
    <row r="201" spans="1:40" ht="15" customHeight="1">
      <c r="A201" t="s">
        <v>1736</v>
      </c>
      <c r="B201" t="s">
        <v>1737</v>
      </c>
      <c r="C201" s="3">
        <v>45852</v>
      </c>
      <c r="D201" s="3">
        <v>45873</v>
      </c>
      <c r="E201" t="s">
        <v>47</v>
      </c>
      <c r="G201" t="s">
        <v>1738</v>
      </c>
      <c r="H201" t="s">
        <v>826</v>
      </c>
      <c r="I201" t="s">
        <v>1045</v>
      </c>
      <c r="J201" t="s">
        <v>1046</v>
      </c>
      <c r="K201" t="s">
        <v>1046</v>
      </c>
      <c r="M201" t="s">
        <v>43</v>
      </c>
      <c r="N201" t="s">
        <v>609</v>
      </c>
      <c r="O201" t="s">
        <v>551</v>
      </c>
      <c r="R201" t="s">
        <v>191</v>
      </c>
      <c r="S201" t="s">
        <v>1739</v>
      </c>
      <c r="T201" t="s">
        <v>1740</v>
      </c>
      <c r="U201" s="5" t="s">
        <v>1741</v>
      </c>
      <c r="V201" s="5" t="e" cm="1">
        <f t="array" aca="1" ref="V201" ca="1">-_fTlSk_GUOcV7o19U6FtMgAAs5h</f>
        <v>#NAME?</v>
      </c>
      <c r="W201" s="5"/>
      <c r="X201" s="5"/>
      <c r="Y201" s="5"/>
      <c r="Z201" s="5"/>
      <c r="AA201" s="5"/>
      <c r="AB201" s="5"/>
      <c r="AC201" s="10" t="s">
        <v>603</v>
      </c>
      <c r="AD201" s="10"/>
      <c r="AE201" s="10"/>
      <c r="AF201" s="10"/>
      <c r="AG201" s="10"/>
      <c r="AH201" s="10"/>
      <c r="AI201" s="10" t="s">
        <v>604</v>
      </c>
      <c r="AJ201" s="5" t="s">
        <v>1742</v>
      </c>
      <c r="AK201" s="5"/>
      <c r="AL201" s="5"/>
      <c r="AM201" t="s">
        <v>1743</v>
      </c>
      <c r="AN201" t="s">
        <v>84</v>
      </c>
    </row>
    <row r="202" spans="1:40" ht="15" customHeight="1">
      <c r="A202" t="s">
        <v>1744</v>
      </c>
      <c r="B202" t="s">
        <v>1745</v>
      </c>
      <c r="C202" s="3">
        <v>45853</v>
      </c>
      <c r="D202" s="3">
        <v>45854</v>
      </c>
      <c r="E202" t="s">
        <v>47</v>
      </c>
      <c r="G202" t="s">
        <v>1738</v>
      </c>
      <c r="H202" t="s">
        <v>826</v>
      </c>
      <c r="I202" t="s">
        <v>1045</v>
      </c>
      <c r="J202" t="s">
        <v>1046</v>
      </c>
      <c r="K202" t="s">
        <v>1046</v>
      </c>
      <c r="M202" t="s">
        <v>43</v>
      </c>
      <c r="N202" t="s">
        <v>609</v>
      </c>
      <c r="O202" t="s">
        <v>982</v>
      </c>
      <c r="R202" t="s">
        <v>191</v>
      </c>
      <c r="S202" t="s">
        <v>1746</v>
      </c>
      <c r="T202" t="s">
        <v>1747</v>
      </c>
      <c r="U202" s="5" t="s">
        <v>1748</v>
      </c>
      <c r="V202" s="5" t="s">
        <v>1749</v>
      </c>
      <c r="W202" s="5"/>
      <c r="X202" s="5"/>
      <c r="Y202" s="5"/>
      <c r="Z202" s="5"/>
      <c r="AA202" s="5"/>
      <c r="AB202" s="5"/>
      <c r="AC202" s="10" t="s">
        <v>603</v>
      </c>
      <c r="AD202" s="10"/>
      <c r="AE202" s="10"/>
      <c r="AF202" s="10"/>
      <c r="AG202" s="10"/>
      <c r="AH202" s="10"/>
      <c r="AI202" s="10" t="s">
        <v>604</v>
      </c>
      <c r="AJ202" s="5" t="s">
        <v>1750</v>
      </c>
      <c r="AK202" s="5"/>
      <c r="AL202" s="5"/>
      <c r="AM202" t="s">
        <v>1751</v>
      </c>
      <c r="AN202" t="s">
        <v>84</v>
      </c>
    </row>
    <row r="203" spans="1:40" ht="15" customHeight="1">
      <c r="A203" t="s">
        <v>1752</v>
      </c>
      <c r="B203" t="s">
        <v>1753</v>
      </c>
      <c r="C203" s="3">
        <v>45853</v>
      </c>
      <c r="D203" s="3">
        <v>45854</v>
      </c>
      <c r="E203" t="s">
        <v>47</v>
      </c>
      <c r="G203" t="s">
        <v>1754</v>
      </c>
      <c r="H203" t="s">
        <v>884</v>
      </c>
      <c r="I203" t="s">
        <v>181</v>
      </c>
      <c r="J203" t="s">
        <v>1711</v>
      </c>
      <c r="K203" t="s">
        <v>181</v>
      </c>
      <c r="M203" t="s">
        <v>43</v>
      </c>
      <c r="N203" t="s">
        <v>599</v>
      </c>
      <c r="O203" t="s">
        <v>1539</v>
      </c>
      <c r="R203" t="s">
        <v>182</v>
      </c>
      <c r="S203" t="s">
        <v>1755</v>
      </c>
      <c r="T203" t="s">
        <v>1756</v>
      </c>
      <c r="U203" s="5" t="s">
        <v>1757</v>
      </c>
      <c r="V203" s="5" t="s">
        <v>1758</v>
      </c>
      <c r="W203" s="5"/>
      <c r="X203" s="5"/>
      <c r="Y203" s="5"/>
      <c r="Z203" s="5"/>
      <c r="AA203" s="5"/>
      <c r="AB203" s="5"/>
      <c r="AC203" s="10" t="s">
        <v>603</v>
      </c>
      <c r="AD203" s="10"/>
      <c r="AE203" s="10"/>
      <c r="AF203" s="10"/>
      <c r="AG203" s="10"/>
      <c r="AH203" s="10"/>
      <c r="AI203" s="10" t="s">
        <v>604</v>
      </c>
      <c r="AJ203" s="5" t="s">
        <v>516</v>
      </c>
      <c r="AK203" s="5"/>
      <c r="AL203" s="5"/>
      <c r="AM203" t="s">
        <v>1759</v>
      </c>
      <c r="AN203" t="s">
        <v>1176</v>
      </c>
    </row>
    <row r="204" spans="1:40" ht="15" customHeight="1">
      <c r="A204" t="s">
        <v>1760</v>
      </c>
      <c r="B204" t="s">
        <v>1761</v>
      </c>
      <c r="C204" s="3">
        <v>45853</v>
      </c>
      <c r="D204" s="3">
        <v>45859</v>
      </c>
      <c r="E204" t="s">
        <v>47</v>
      </c>
      <c r="G204" t="s">
        <v>1762</v>
      </c>
      <c r="H204" t="s">
        <v>1763</v>
      </c>
      <c r="I204" t="s">
        <v>1764</v>
      </c>
      <c r="J204" t="s">
        <v>1765</v>
      </c>
      <c r="K204" t="s">
        <v>1766</v>
      </c>
      <c r="M204" t="s">
        <v>43</v>
      </c>
      <c r="N204" t="s">
        <v>1140</v>
      </c>
      <c r="O204" t="s">
        <v>1767</v>
      </c>
      <c r="R204" t="s">
        <v>320</v>
      </c>
      <c r="S204" t="s">
        <v>1768</v>
      </c>
      <c r="T204" t="s">
        <v>1769</v>
      </c>
      <c r="U204" s="5" t="s">
        <v>1770</v>
      </c>
      <c r="V204" s="5" t="s">
        <v>1771</v>
      </c>
      <c r="W204" s="5"/>
      <c r="X204" s="5"/>
      <c r="Y204" s="5"/>
      <c r="Z204" s="5"/>
      <c r="AA204" s="5"/>
      <c r="AB204" s="5"/>
      <c r="AC204" s="10" t="s">
        <v>603</v>
      </c>
      <c r="AD204" s="10"/>
      <c r="AE204" s="10"/>
      <c r="AF204" s="10"/>
      <c r="AG204" s="10"/>
      <c r="AH204" s="10"/>
      <c r="AI204" s="10" t="s">
        <v>604</v>
      </c>
      <c r="AJ204" s="5" t="s">
        <v>696</v>
      </c>
      <c r="AK204" s="5"/>
      <c r="AL204" s="5"/>
      <c r="AM204" t="s">
        <v>1772</v>
      </c>
      <c r="AN204" t="s">
        <v>84</v>
      </c>
    </row>
    <row r="205" spans="1:40" ht="15" customHeight="1">
      <c r="A205" t="s">
        <v>1773</v>
      </c>
      <c r="B205" t="s">
        <v>1774</v>
      </c>
      <c r="C205" s="3">
        <v>45854</v>
      </c>
      <c r="D205" s="3">
        <v>45855</v>
      </c>
      <c r="E205" t="s">
        <v>41</v>
      </c>
      <c r="G205" t="s">
        <v>1775</v>
      </c>
      <c r="H205" t="s">
        <v>850</v>
      </c>
      <c r="I205" t="s">
        <v>48</v>
      </c>
      <c r="J205" t="s">
        <v>1711</v>
      </c>
      <c r="K205" t="s">
        <v>48</v>
      </c>
      <c r="M205" t="s">
        <v>43</v>
      </c>
      <c r="N205" t="s">
        <v>599</v>
      </c>
      <c r="O205" t="s">
        <v>571</v>
      </c>
      <c r="R205" t="s">
        <v>50</v>
      </c>
      <c r="S205" t="s">
        <v>1776</v>
      </c>
      <c r="T205" t="s">
        <v>1777</v>
      </c>
      <c r="U205" s="5" t="s">
        <v>1778</v>
      </c>
      <c r="V205" s="5" t="s">
        <v>1779</v>
      </c>
      <c r="W205" s="5"/>
      <c r="X205" s="5"/>
      <c r="Y205" s="5"/>
      <c r="Z205" s="5"/>
      <c r="AA205" s="5"/>
      <c r="AB205" s="5"/>
      <c r="AC205" s="10" t="s">
        <v>603</v>
      </c>
      <c r="AD205" s="10"/>
      <c r="AE205" s="10"/>
      <c r="AF205" s="10"/>
      <c r="AG205" s="10"/>
      <c r="AH205" s="10"/>
      <c r="AI205" s="10" t="s">
        <v>604</v>
      </c>
      <c r="AJ205" s="5" t="s">
        <v>1780</v>
      </c>
      <c r="AK205" s="5"/>
      <c r="AL205" s="5"/>
      <c r="AM205" t="s">
        <v>1781</v>
      </c>
      <c r="AN205" t="s">
        <v>1176</v>
      </c>
    </row>
    <row r="206" spans="1:40" ht="15" customHeight="1">
      <c r="A206" t="s">
        <v>1782</v>
      </c>
      <c r="B206" t="s">
        <v>1783</v>
      </c>
      <c r="C206" s="3">
        <v>45855</v>
      </c>
      <c r="D206" s="3">
        <v>45859</v>
      </c>
      <c r="E206" t="s">
        <v>41</v>
      </c>
      <c r="G206" t="s">
        <v>1784</v>
      </c>
      <c r="H206" t="s">
        <v>779</v>
      </c>
      <c r="I206" t="s">
        <v>109</v>
      </c>
      <c r="J206" t="s">
        <v>1711</v>
      </c>
      <c r="K206" t="s">
        <v>109</v>
      </c>
      <c r="M206" t="s">
        <v>43</v>
      </c>
      <c r="N206" t="s">
        <v>599</v>
      </c>
      <c r="O206" t="s">
        <v>571</v>
      </c>
      <c r="R206" t="s">
        <v>1785</v>
      </c>
      <c r="S206" t="s">
        <v>1786</v>
      </c>
      <c r="T206" t="s">
        <v>1787</v>
      </c>
      <c r="U206" s="5" t="s">
        <v>1788</v>
      </c>
      <c r="V206" s="5" t="s">
        <v>1789</v>
      </c>
      <c r="W206" s="5"/>
      <c r="X206" s="5"/>
      <c r="Y206" s="5"/>
      <c r="Z206" s="5"/>
      <c r="AA206" s="5"/>
      <c r="AB206" s="5"/>
      <c r="AC206" s="10" t="s">
        <v>603</v>
      </c>
      <c r="AD206" s="10"/>
      <c r="AE206" s="10"/>
      <c r="AF206" s="10"/>
      <c r="AG206" s="10"/>
      <c r="AH206" s="10"/>
      <c r="AI206" s="10" t="s">
        <v>604</v>
      </c>
      <c r="AJ206" s="5" t="s">
        <v>1790</v>
      </c>
      <c r="AK206" s="5"/>
      <c r="AL206" s="5"/>
      <c r="AM206" t="s">
        <v>1791</v>
      </c>
      <c r="AN206" t="s">
        <v>1176</v>
      </c>
    </row>
    <row r="207" spans="1:40" ht="15" customHeight="1">
      <c r="A207" t="s">
        <v>1792</v>
      </c>
      <c r="B207" t="s">
        <v>1793</v>
      </c>
      <c r="C207" s="3">
        <v>45855</v>
      </c>
      <c r="D207" s="3">
        <v>45859</v>
      </c>
      <c r="E207" t="s">
        <v>41</v>
      </c>
      <c r="G207" t="s">
        <v>1794</v>
      </c>
      <c r="H207" t="s">
        <v>1013</v>
      </c>
      <c r="I207" t="s">
        <v>668</v>
      </c>
      <c r="J207" t="s">
        <v>1795</v>
      </c>
      <c r="K207" t="s">
        <v>1796</v>
      </c>
      <c r="M207" t="s">
        <v>43</v>
      </c>
      <c r="N207" t="s">
        <v>632</v>
      </c>
      <c r="O207" t="s">
        <v>982</v>
      </c>
      <c r="R207" t="s">
        <v>1797</v>
      </c>
      <c r="S207" t="s">
        <v>1798</v>
      </c>
      <c r="T207" t="s">
        <v>1799</v>
      </c>
      <c r="U207" s="5" t="s">
        <v>1800</v>
      </c>
      <c r="V207" s="5" t="s">
        <v>1801</v>
      </c>
      <c r="W207" s="5"/>
      <c r="X207" s="5"/>
      <c r="Y207" s="5"/>
      <c r="Z207" s="5"/>
      <c r="AA207" s="5"/>
      <c r="AB207" s="5"/>
      <c r="AC207" s="10" t="s">
        <v>603</v>
      </c>
      <c r="AD207" s="10"/>
      <c r="AE207" s="10"/>
      <c r="AF207" s="10"/>
      <c r="AG207" s="10"/>
      <c r="AH207" s="10"/>
      <c r="AI207" s="10" t="s">
        <v>604</v>
      </c>
      <c r="AJ207" s="5" t="s">
        <v>1802</v>
      </c>
      <c r="AK207" s="5"/>
      <c r="AL207" s="5"/>
      <c r="AM207" t="s">
        <v>1803</v>
      </c>
      <c r="AN207" t="s">
        <v>84</v>
      </c>
    </row>
    <row r="208" spans="1:40" ht="15" customHeight="1">
      <c r="A208" t="s">
        <v>1804</v>
      </c>
      <c r="B208" t="s">
        <v>1805</v>
      </c>
      <c r="C208" s="3">
        <v>45856</v>
      </c>
      <c r="D208" s="3">
        <v>45859</v>
      </c>
      <c r="E208" t="s">
        <v>41</v>
      </c>
      <c r="G208" t="s">
        <v>1784</v>
      </c>
      <c r="H208" t="s">
        <v>779</v>
      </c>
      <c r="I208" t="s">
        <v>109</v>
      </c>
      <c r="J208" t="s">
        <v>1711</v>
      </c>
      <c r="K208" t="s">
        <v>109</v>
      </c>
      <c r="M208" t="s">
        <v>43</v>
      </c>
      <c r="N208" t="s">
        <v>599</v>
      </c>
      <c r="O208" t="s">
        <v>571</v>
      </c>
      <c r="R208" t="s">
        <v>55</v>
      </c>
      <c r="S208" t="s">
        <v>1806</v>
      </c>
      <c r="T208" t="s">
        <v>1807</v>
      </c>
      <c r="U208" s="5" t="s">
        <v>1808</v>
      </c>
      <c r="V208" s="5" t="s">
        <v>1809</v>
      </c>
      <c r="W208" s="5"/>
      <c r="X208" s="5"/>
      <c r="Y208" s="5"/>
      <c r="Z208" s="5"/>
      <c r="AA208" s="5"/>
      <c r="AB208" s="5"/>
      <c r="AC208" s="10" t="s">
        <v>603</v>
      </c>
      <c r="AD208" s="10"/>
      <c r="AE208" s="10"/>
      <c r="AF208" s="10"/>
      <c r="AG208" s="10"/>
      <c r="AH208" s="10"/>
      <c r="AI208" s="10" t="s">
        <v>604</v>
      </c>
      <c r="AJ208" s="5" t="s">
        <v>1810</v>
      </c>
      <c r="AK208" s="5"/>
      <c r="AL208" s="5"/>
      <c r="AM208" t="s">
        <v>1270</v>
      </c>
      <c r="AN208" t="s">
        <v>1176</v>
      </c>
    </row>
    <row r="209" spans="1:40" ht="15" customHeight="1">
      <c r="A209" t="s">
        <v>1811</v>
      </c>
      <c r="B209" t="s">
        <v>1812</v>
      </c>
      <c r="C209" s="3">
        <v>45859</v>
      </c>
      <c r="D209" s="3">
        <v>45859</v>
      </c>
      <c r="E209" t="s">
        <v>47</v>
      </c>
      <c r="G209" t="s">
        <v>1813</v>
      </c>
      <c r="H209" t="s">
        <v>1814</v>
      </c>
      <c r="I209" t="s">
        <v>86</v>
      </c>
      <c r="J209" t="s">
        <v>86</v>
      </c>
      <c r="K209" t="s">
        <v>86</v>
      </c>
      <c r="M209" t="s">
        <v>43</v>
      </c>
      <c r="N209" t="s">
        <v>609</v>
      </c>
      <c r="O209" t="s">
        <v>982</v>
      </c>
      <c r="R209" t="s">
        <v>320</v>
      </c>
      <c r="S209" t="s">
        <v>1815</v>
      </c>
      <c r="T209" t="s">
        <v>1816</v>
      </c>
      <c r="U209" s="5" t="s">
        <v>1817</v>
      </c>
      <c r="V209" s="5" t="s">
        <v>1818</v>
      </c>
      <c r="W209" s="5"/>
      <c r="X209" s="5"/>
      <c r="Y209" s="5"/>
      <c r="Z209" s="5"/>
      <c r="AA209" s="5"/>
      <c r="AB209" s="5"/>
      <c r="AC209" s="10" t="s">
        <v>603</v>
      </c>
      <c r="AD209" s="10"/>
      <c r="AE209" s="10"/>
      <c r="AF209" s="10"/>
      <c r="AG209" s="10"/>
      <c r="AH209" s="10"/>
      <c r="AI209" s="10" t="s">
        <v>604</v>
      </c>
      <c r="AJ209" s="5" t="s">
        <v>317</v>
      </c>
      <c r="AK209" s="5"/>
      <c r="AL209" s="5"/>
      <c r="AM209" t="s">
        <v>1819</v>
      </c>
      <c r="AN209" t="s">
        <v>84</v>
      </c>
    </row>
    <row r="210" spans="1:40" ht="15" customHeight="1">
      <c r="A210" t="s">
        <v>1820</v>
      </c>
      <c r="B210" t="s">
        <v>1821</v>
      </c>
      <c r="C210" s="3">
        <v>45859</v>
      </c>
      <c r="D210" s="3">
        <v>45859</v>
      </c>
      <c r="E210" t="s">
        <v>47</v>
      </c>
      <c r="G210" t="s">
        <v>1822</v>
      </c>
      <c r="H210" t="s">
        <v>779</v>
      </c>
      <c r="I210" t="s">
        <v>109</v>
      </c>
      <c r="J210" t="s">
        <v>1711</v>
      </c>
      <c r="K210" t="s">
        <v>109</v>
      </c>
      <c r="M210" t="s">
        <v>43</v>
      </c>
      <c r="N210" t="s">
        <v>599</v>
      </c>
      <c r="O210" t="s">
        <v>571</v>
      </c>
      <c r="R210" t="s">
        <v>182</v>
      </c>
      <c r="S210" t="s">
        <v>1823</v>
      </c>
      <c r="T210" t="s">
        <v>1824</v>
      </c>
      <c r="U210" s="5" t="s">
        <v>1825</v>
      </c>
      <c r="V210" s="5" t="s">
        <v>1826</v>
      </c>
      <c r="W210" s="5"/>
      <c r="X210" s="5"/>
      <c r="Y210" s="5"/>
      <c r="Z210" s="5"/>
      <c r="AA210" s="5"/>
      <c r="AB210" s="5"/>
      <c r="AC210" s="10" t="s">
        <v>603</v>
      </c>
      <c r="AD210" s="10"/>
      <c r="AE210" s="10"/>
      <c r="AF210" s="10"/>
      <c r="AG210" s="10"/>
      <c r="AH210" s="10"/>
      <c r="AI210" s="10" t="s">
        <v>604</v>
      </c>
      <c r="AJ210" s="5" t="s">
        <v>516</v>
      </c>
      <c r="AK210" s="5"/>
      <c r="AL210" s="5"/>
      <c r="AM210" t="s">
        <v>1827</v>
      </c>
      <c r="AN210" t="s">
        <v>1176</v>
      </c>
    </row>
    <row r="211" spans="1:40" ht="15" customHeight="1">
      <c r="A211" t="s">
        <v>1828</v>
      </c>
      <c r="B211" t="s">
        <v>1829</v>
      </c>
      <c r="C211" s="3">
        <v>45859</v>
      </c>
      <c r="D211" s="3">
        <v>45861</v>
      </c>
      <c r="E211" t="s">
        <v>47</v>
      </c>
      <c r="G211" t="s">
        <v>1830</v>
      </c>
      <c r="H211" t="s">
        <v>1234</v>
      </c>
      <c r="I211" t="s">
        <v>352</v>
      </c>
      <c r="J211" t="s">
        <v>352</v>
      </c>
      <c r="K211" t="s">
        <v>1831</v>
      </c>
      <c r="M211" t="s">
        <v>43</v>
      </c>
      <c r="N211" t="s">
        <v>599</v>
      </c>
      <c r="O211" t="s">
        <v>1832</v>
      </c>
      <c r="R211" t="s">
        <v>1833</v>
      </c>
      <c r="S211" t="s">
        <v>1666</v>
      </c>
      <c r="T211" t="s">
        <v>1834</v>
      </c>
      <c r="U211" s="5" t="s">
        <v>1835</v>
      </c>
      <c r="V211" s="5" t="s">
        <v>1836</v>
      </c>
      <c r="W211" s="5"/>
      <c r="X211" s="5"/>
      <c r="Y211" s="5"/>
      <c r="Z211" s="5"/>
      <c r="AA211" s="5"/>
      <c r="AB211" s="5"/>
      <c r="AC211" s="10" t="s">
        <v>603</v>
      </c>
      <c r="AD211" s="10"/>
      <c r="AE211" s="10"/>
      <c r="AF211" s="10"/>
      <c r="AG211" s="10"/>
      <c r="AH211" s="10"/>
      <c r="AI211" s="10" t="s">
        <v>604</v>
      </c>
      <c r="AJ211" s="5" t="s">
        <v>1837</v>
      </c>
      <c r="AK211" s="5"/>
      <c r="AL211" s="5"/>
      <c r="AM211" t="s">
        <v>1670</v>
      </c>
      <c r="AN211" t="s">
        <v>1176</v>
      </c>
    </row>
    <row r="212" spans="1:40" ht="15" customHeight="1">
      <c r="A212" t="s">
        <v>1838</v>
      </c>
      <c r="B212" t="s">
        <v>1839</v>
      </c>
      <c r="C212" s="3">
        <v>45859</v>
      </c>
      <c r="D212" s="3">
        <v>45867</v>
      </c>
      <c r="E212" t="s">
        <v>47</v>
      </c>
      <c r="G212" t="s">
        <v>1840</v>
      </c>
      <c r="H212" t="s">
        <v>850</v>
      </c>
      <c r="I212" t="s">
        <v>48</v>
      </c>
      <c r="J212" t="s">
        <v>1711</v>
      </c>
      <c r="K212" t="s">
        <v>48</v>
      </c>
      <c r="M212" t="s">
        <v>43</v>
      </c>
      <c r="N212" t="s">
        <v>599</v>
      </c>
      <c r="O212" t="s">
        <v>571</v>
      </c>
      <c r="R212" t="s">
        <v>55</v>
      </c>
      <c r="S212" t="s">
        <v>1841</v>
      </c>
      <c r="T212" t="s">
        <v>1842</v>
      </c>
      <c r="U212" s="5" t="s">
        <v>1843</v>
      </c>
      <c r="V212" s="5" t="s">
        <v>1844</v>
      </c>
      <c r="W212" s="5"/>
      <c r="X212" s="5"/>
      <c r="Y212" s="5"/>
      <c r="Z212" s="5"/>
      <c r="AA212" s="5"/>
      <c r="AB212" s="5"/>
      <c r="AC212" s="10" t="s">
        <v>603</v>
      </c>
      <c r="AD212" s="10"/>
      <c r="AE212" s="10"/>
      <c r="AF212" s="10"/>
      <c r="AG212" s="10"/>
      <c r="AH212" s="10"/>
      <c r="AI212" s="10" t="s">
        <v>604</v>
      </c>
      <c r="AJ212" s="5" t="s">
        <v>1644</v>
      </c>
      <c r="AK212" s="5"/>
      <c r="AL212" s="5"/>
      <c r="AM212" t="s">
        <v>1845</v>
      </c>
      <c r="AN212" t="s">
        <v>1176</v>
      </c>
    </row>
    <row r="213" spans="1:40" ht="15" customHeight="1">
      <c r="A213" t="s">
        <v>1846</v>
      </c>
      <c r="B213" t="s">
        <v>1847</v>
      </c>
      <c r="C213" s="3">
        <v>45861</v>
      </c>
      <c r="D213" s="3">
        <v>45867</v>
      </c>
      <c r="E213" t="s">
        <v>47</v>
      </c>
      <c r="G213" t="s">
        <v>1848</v>
      </c>
      <c r="H213" t="s">
        <v>826</v>
      </c>
      <c r="I213" t="s">
        <v>1045</v>
      </c>
      <c r="J213" t="s">
        <v>1046</v>
      </c>
      <c r="K213" t="s">
        <v>1046</v>
      </c>
      <c r="M213" t="s">
        <v>43</v>
      </c>
      <c r="N213" t="s">
        <v>609</v>
      </c>
      <c r="O213" t="s">
        <v>982</v>
      </c>
      <c r="R213" t="s">
        <v>320</v>
      </c>
      <c r="S213" t="s">
        <v>1849</v>
      </c>
      <c r="T213" t="s">
        <v>1850</v>
      </c>
      <c r="U213" s="5" t="s">
        <v>1851</v>
      </c>
      <c r="V213" s="5" t="s">
        <v>1852</v>
      </c>
      <c r="W213" s="5"/>
      <c r="X213" s="5"/>
      <c r="Y213" s="5"/>
      <c r="Z213" s="5"/>
      <c r="AA213" s="5"/>
      <c r="AB213" s="5"/>
      <c r="AC213" s="10" t="s">
        <v>603</v>
      </c>
      <c r="AD213" s="10"/>
      <c r="AE213" s="10"/>
      <c r="AF213" s="10"/>
      <c r="AG213" s="10"/>
      <c r="AH213" s="10"/>
      <c r="AI213" s="10" t="s">
        <v>604</v>
      </c>
      <c r="AJ213" s="5" t="s">
        <v>1853</v>
      </c>
      <c r="AK213" s="5"/>
      <c r="AL213" s="5"/>
      <c r="AM213" t="s">
        <v>1854</v>
      </c>
      <c r="AN213" t="s">
        <v>84</v>
      </c>
    </row>
    <row r="214" spans="1:40" ht="15" customHeight="1">
      <c r="A214" t="s">
        <v>1855</v>
      </c>
      <c r="B214" t="s">
        <v>1856</v>
      </c>
      <c r="C214" s="3">
        <v>45861</v>
      </c>
      <c r="D214" s="3">
        <v>45867</v>
      </c>
      <c r="E214" t="s">
        <v>457</v>
      </c>
      <c r="G214" t="s">
        <v>1857</v>
      </c>
      <c r="H214" t="s">
        <v>1234</v>
      </c>
      <c r="I214" t="s">
        <v>352</v>
      </c>
      <c r="J214" t="s">
        <v>352</v>
      </c>
      <c r="K214" t="s">
        <v>1858</v>
      </c>
      <c r="M214" t="s">
        <v>43</v>
      </c>
      <c r="N214" t="s">
        <v>609</v>
      </c>
      <c r="O214" t="s">
        <v>1859</v>
      </c>
      <c r="R214" t="s">
        <v>320</v>
      </c>
      <c r="S214" t="s">
        <v>1860</v>
      </c>
      <c r="T214" t="s">
        <v>1861</v>
      </c>
      <c r="U214" s="5" t="s">
        <v>1862</v>
      </c>
      <c r="V214" s="5" t="s">
        <v>1863</v>
      </c>
      <c r="W214" s="5"/>
      <c r="X214" s="5"/>
      <c r="Y214" s="5"/>
      <c r="Z214" s="5"/>
      <c r="AA214" s="5"/>
      <c r="AB214" s="5"/>
      <c r="AC214" s="10" t="s">
        <v>603</v>
      </c>
      <c r="AD214" s="10"/>
      <c r="AE214" s="10"/>
      <c r="AF214" s="10"/>
      <c r="AG214" s="10"/>
      <c r="AH214" s="10"/>
      <c r="AI214" s="10" t="s">
        <v>604</v>
      </c>
      <c r="AJ214" s="5" t="s">
        <v>1864</v>
      </c>
      <c r="AK214" s="5"/>
      <c r="AL214" s="5"/>
      <c r="AM214" t="s">
        <v>1865</v>
      </c>
      <c r="AN214" t="s">
        <v>1176</v>
      </c>
    </row>
    <row r="215" spans="1:40" ht="15" customHeight="1">
      <c r="A215" t="s">
        <v>1866</v>
      </c>
      <c r="B215" t="s">
        <v>1867</v>
      </c>
      <c r="C215" s="3">
        <v>45862</v>
      </c>
      <c r="D215" s="3">
        <v>45867</v>
      </c>
      <c r="E215" t="s">
        <v>41</v>
      </c>
      <c r="G215" t="s">
        <v>1868</v>
      </c>
      <c r="H215" t="s">
        <v>1370</v>
      </c>
      <c r="I215" t="s">
        <v>435</v>
      </c>
      <c r="J215" t="s">
        <v>435</v>
      </c>
      <c r="K215" t="s">
        <v>435</v>
      </c>
      <c r="M215" t="s">
        <v>43</v>
      </c>
      <c r="N215" t="s">
        <v>609</v>
      </c>
      <c r="O215" t="s">
        <v>982</v>
      </c>
      <c r="R215" t="s">
        <v>320</v>
      </c>
      <c r="S215" t="s">
        <v>1869</v>
      </c>
      <c r="T215" t="s">
        <v>1870</v>
      </c>
      <c r="U215" s="5" t="s">
        <v>1871</v>
      </c>
      <c r="V215" s="5" t="s">
        <v>1872</v>
      </c>
      <c r="W215" s="5"/>
      <c r="X215" s="5"/>
      <c r="Y215" s="5"/>
      <c r="Z215" s="5"/>
      <c r="AA215" s="5"/>
      <c r="AB215" s="5"/>
      <c r="AC215" s="10" t="s">
        <v>603</v>
      </c>
      <c r="AD215" s="10"/>
      <c r="AE215" s="10"/>
      <c r="AF215" s="10"/>
      <c r="AG215" s="10"/>
      <c r="AH215" s="10"/>
      <c r="AI215" s="10" t="s">
        <v>604</v>
      </c>
      <c r="AJ215" s="5" t="s">
        <v>1873</v>
      </c>
      <c r="AK215" s="5"/>
      <c r="AL215" s="5"/>
      <c r="AM215" t="s">
        <v>1874</v>
      </c>
      <c r="AN215" t="s">
        <v>84</v>
      </c>
    </row>
    <row r="216" spans="1:40" ht="15" customHeight="1">
      <c r="A216" t="s">
        <v>1875</v>
      </c>
      <c r="B216" t="s">
        <v>1876</v>
      </c>
      <c r="C216" s="3">
        <v>45863</v>
      </c>
      <c r="D216" s="3">
        <v>45873</v>
      </c>
      <c r="E216" t="s">
        <v>47</v>
      </c>
      <c r="G216" t="s">
        <v>1877</v>
      </c>
      <c r="H216" t="s">
        <v>826</v>
      </c>
      <c r="I216" t="s">
        <v>1045</v>
      </c>
      <c r="J216" t="s">
        <v>1046</v>
      </c>
      <c r="K216" t="s">
        <v>1046</v>
      </c>
      <c r="M216" t="s">
        <v>43</v>
      </c>
      <c r="N216" t="s">
        <v>609</v>
      </c>
      <c r="O216" t="s">
        <v>551</v>
      </c>
      <c r="R216" t="s">
        <v>830</v>
      </c>
      <c r="S216" t="s">
        <v>1878</v>
      </c>
      <c r="T216" t="s">
        <v>1879</v>
      </c>
      <c r="U216" s="5" t="s">
        <v>1880</v>
      </c>
      <c r="V216" s="5" t="s">
        <v>1881</v>
      </c>
      <c r="W216" s="5"/>
      <c r="X216" s="5"/>
      <c r="Y216" s="5"/>
      <c r="Z216" s="5"/>
      <c r="AA216" s="5"/>
      <c r="AB216" s="5"/>
      <c r="AC216" s="10" t="s">
        <v>603</v>
      </c>
      <c r="AD216" s="10"/>
      <c r="AE216" s="10"/>
      <c r="AF216" s="10"/>
      <c r="AG216" s="10"/>
      <c r="AH216" s="10"/>
      <c r="AI216" s="10" t="s">
        <v>604</v>
      </c>
      <c r="AJ216" s="5" t="s">
        <v>1882</v>
      </c>
      <c r="AK216" s="5"/>
      <c r="AL216" s="5"/>
      <c r="AM216" t="s">
        <v>1883</v>
      </c>
      <c r="AN216" t="s">
        <v>84</v>
      </c>
    </row>
    <row r="217" spans="1:40" ht="15" customHeight="1">
      <c r="A217" t="s">
        <v>1884</v>
      </c>
      <c r="B217" t="s">
        <v>1885</v>
      </c>
      <c r="C217" s="3">
        <v>45866</v>
      </c>
      <c r="D217" s="3">
        <v>45874</v>
      </c>
      <c r="E217" t="s">
        <v>47</v>
      </c>
      <c r="G217" t="s">
        <v>1886</v>
      </c>
      <c r="H217" t="s">
        <v>904</v>
      </c>
      <c r="I217" t="s">
        <v>65</v>
      </c>
      <c r="J217" t="s">
        <v>65</v>
      </c>
      <c r="K217" t="s">
        <v>65</v>
      </c>
      <c r="M217" t="s">
        <v>43</v>
      </c>
      <c r="N217" t="s">
        <v>599</v>
      </c>
      <c r="O217" t="s">
        <v>551</v>
      </c>
      <c r="R217" t="s">
        <v>1540</v>
      </c>
      <c r="S217" t="s">
        <v>1887</v>
      </c>
      <c r="T217" t="s">
        <v>1888</v>
      </c>
      <c r="U217" s="5" t="s">
        <v>1889</v>
      </c>
      <c r="V217" s="5" t="s">
        <v>1890</v>
      </c>
      <c r="W217" s="5"/>
      <c r="X217" s="5"/>
      <c r="Y217" s="5"/>
      <c r="Z217" s="5"/>
      <c r="AA217" s="5"/>
      <c r="AB217" s="5"/>
      <c r="AC217" s="10" t="s">
        <v>603</v>
      </c>
      <c r="AD217" s="10"/>
      <c r="AE217" s="10"/>
      <c r="AF217" s="10"/>
      <c r="AG217" s="10"/>
      <c r="AH217" s="10"/>
      <c r="AI217" s="10" t="s">
        <v>604</v>
      </c>
      <c r="AJ217" s="5" t="s">
        <v>1891</v>
      </c>
      <c r="AK217" s="5"/>
      <c r="AL217" s="5"/>
      <c r="AM217" t="s">
        <v>1892</v>
      </c>
      <c r="AN217" t="s">
        <v>84</v>
      </c>
    </row>
    <row r="218" spans="1:40" ht="15" customHeight="1">
      <c r="A218" t="s">
        <v>1893</v>
      </c>
      <c r="B218" t="s">
        <v>1894</v>
      </c>
      <c r="C218" s="3">
        <v>45867</v>
      </c>
      <c r="D218" s="3">
        <v>45875</v>
      </c>
      <c r="E218" t="s">
        <v>47</v>
      </c>
      <c r="G218" t="s">
        <v>1895</v>
      </c>
      <c r="H218" t="s">
        <v>1234</v>
      </c>
      <c r="I218" t="s">
        <v>352</v>
      </c>
      <c r="J218" t="s">
        <v>352</v>
      </c>
      <c r="K218" t="s">
        <v>1896</v>
      </c>
      <c r="M218" t="s">
        <v>43</v>
      </c>
      <c r="N218" t="s">
        <v>632</v>
      </c>
      <c r="O218" t="s">
        <v>982</v>
      </c>
      <c r="R218" t="s">
        <v>320</v>
      </c>
      <c r="S218" t="s">
        <v>1897</v>
      </c>
      <c r="T218" t="s">
        <v>1898</v>
      </c>
      <c r="U218" s="5" t="s">
        <v>1899</v>
      </c>
      <c r="V218" s="5" t="s">
        <v>1900</v>
      </c>
      <c r="W218" s="5"/>
      <c r="X218" s="5"/>
      <c r="Y218" s="5"/>
      <c r="Z218" s="5"/>
      <c r="AA218" s="5"/>
      <c r="AB218" s="5"/>
      <c r="AC218" s="10" t="s">
        <v>603</v>
      </c>
      <c r="AD218" s="10"/>
      <c r="AE218" s="10"/>
      <c r="AF218" s="10"/>
      <c r="AG218" s="10"/>
      <c r="AH218" s="10"/>
      <c r="AI218" s="10" t="s">
        <v>604</v>
      </c>
      <c r="AJ218" s="5" t="s">
        <v>516</v>
      </c>
      <c r="AK218" s="5"/>
      <c r="AL218" s="5"/>
      <c r="AM218" t="s">
        <v>1901</v>
      </c>
      <c r="AN218" t="s">
        <v>1176</v>
      </c>
    </row>
    <row r="219" spans="1:40" ht="15" customHeight="1">
      <c r="A219" t="s">
        <v>1902</v>
      </c>
      <c r="B219" t="s">
        <v>1903</v>
      </c>
      <c r="C219" s="3">
        <v>45867</v>
      </c>
      <c r="D219" s="3">
        <v>45867</v>
      </c>
      <c r="E219" t="s">
        <v>47</v>
      </c>
      <c r="G219" t="s">
        <v>1904</v>
      </c>
      <c r="H219" t="s">
        <v>942</v>
      </c>
      <c r="I219" t="s">
        <v>169</v>
      </c>
      <c r="J219" t="s">
        <v>352</v>
      </c>
      <c r="K219" t="s">
        <v>169</v>
      </c>
      <c r="M219" t="s">
        <v>43</v>
      </c>
      <c r="N219" t="s">
        <v>590</v>
      </c>
      <c r="O219" t="s">
        <v>591</v>
      </c>
      <c r="R219" t="s">
        <v>320</v>
      </c>
      <c r="S219" t="s">
        <v>1905</v>
      </c>
      <c r="T219" t="s">
        <v>1906</v>
      </c>
      <c r="U219" s="5" t="s">
        <v>1907</v>
      </c>
      <c r="V219" s="5" t="s">
        <v>1908</v>
      </c>
      <c r="W219" s="5"/>
      <c r="X219" s="5"/>
      <c r="Y219" s="5"/>
      <c r="Z219" s="5"/>
      <c r="AA219" s="5"/>
      <c r="AB219" s="5"/>
      <c r="AC219" s="10" t="s">
        <v>603</v>
      </c>
      <c r="AD219" s="10"/>
      <c r="AE219" s="10"/>
      <c r="AF219" s="10"/>
      <c r="AG219" s="10"/>
      <c r="AH219" s="10"/>
      <c r="AI219" s="10" t="s">
        <v>604</v>
      </c>
      <c r="AJ219" s="5" t="s">
        <v>1909</v>
      </c>
      <c r="AK219" s="5"/>
      <c r="AL219" s="5"/>
      <c r="AM219" t="s">
        <v>1910</v>
      </c>
      <c r="AN219" t="s">
        <v>84</v>
      </c>
    </row>
    <row r="220" spans="1:40" ht="15" customHeight="1">
      <c r="A220" t="s">
        <v>1911</v>
      </c>
      <c r="B220" t="s">
        <v>1912</v>
      </c>
      <c r="C220" s="3">
        <v>45867</v>
      </c>
      <c r="D220" s="3">
        <v>45875</v>
      </c>
      <c r="E220" t="s">
        <v>47</v>
      </c>
      <c r="G220" t="s">
        <v>1913</v>
      </c>
      <c r="H220" t="s">
        <v>779</v>
      </c>
      <c r="I220" t="s">
        <v>109</v>
      </c>
      <c r="J220" t="s">
        <v>1711</v>
      </c>
      <c r="K220" t="s">
        <v>109</v>
      </c>
      <c r="M220" t="s">
        <v>43</v>
      </c>
      <c r="N220" t="s">
        <v>599</v>
      </c>
      <c r="O220" t="s">
        <v>571</v>
      </c>
      <c r="R220" t="s">
        <v>1540</v>
      </c>
      <c r="S220" t="s">
        <v>1914</v>
      </c>
      <c r="T220" t="s">
        <v>1915</v>
      </c>
      <c r="U220" s="5" t="s">
        <v>1916</v>
      </c>
      <c r="V220" s="5" t="s">
        <v>1917</v>
      </c>
      <c r="W220" s="5"/>
      <c r="X220" s="5"/>
      <c r="Y220" s="5"/>
      <c r="Z220" s="5"/>
      <c r="AA220" s="5"/>
      <c r="AB220" s="5"/>
      <c r="AC220" s="10" t="s">
        <v>603</v>
      </c>
      <c r="AD220" s="10"/>
      <c r="AE220" s="10"/>
      <c r="AF220" s="10"/>
      <c r="AG220" s="10"/>
      <c r="AH220" s="10"/>
      <c r="AI220" s="10" t="s">
        <v>604</v>
      </c>
      <c r="AJ220" s="5" t="s">
        <v>1918</v>
      </c>
      <c r="AK220" s="5"/>
      <c r="AL220" s="5"/>
      <c r="AM220" t="s">
        <v>1919</v>
      </c>
      <c r="AN220" t="s">
        <v>1176</v>
      </c>
    </row>
    <row r="221" spans="1:40" ht="15" customHeight="1">
      <c r="A221" t="s">
        <v>1920</v>
      </c>
      <c r="B221" t="s">
        <v>1921</v>
      </c>
      <c r="C221" s="3">
        <v>45867</v>
      </c>
      <c r="D221" s="3">
        <v>45875</v>
      </c>
      <c r="E221" t="s">
        <v>47</v>
      </c>
      <c r="G221" t="s">
        <v>1922</v>
      </c>
      <c r="H221" t="s">
        <v>884</v>
      </c>
      <c r="I221" t="s">
        <v>181</v>
      </c>
      <c r="J221" t="s">
        <v>1711</v>
      </c>
      <c r="K221" t="s">
        <v>181</v>
      </c>
      <c r="M221" t="s">
        <v>43</v>
      </c>
      <c r="N221" t="s">
        <v>599</v>
      </c>
      <c r="O221" t="s">
        <v>571</v>
      </c>
      <c r="R221" t="s">
        <v>1540</v>
      </c>
      <c r="S221" t="s">
        <v>1923</v>
      </c>
      <c r="T221" t="s">
        <v>1924</v>
      </c>
      <c r="U221" s="5" t="s">
        <v>1925</v>
      </c>
      <c r="V221" s="5" t="s">
        <v>1926</v>
      </c>
      <c r="W221" s="5"/>
      <c r="X221" s="5"/>
      <c r="Y221" s="5"/>
      <c r="Z221" s="5"/>
      <c r="AA221" s="5"/>
      <c r="AB221" s="5"/>
      <c r="AC221" s="10" t="s">
        <v>603</v>
      </c>
      <c r="AD221" s="10"/>
      <c r="AE221" s="10"/>
      <c r="AF221" s="10"/>
      <c r="AG221" s="10"/>
      <c r="AH221" s="10"/>
      <c r="AI221" s="10" t="s">
        <v>604</v>
      </c>
      <c r="AJ221" s="5" t="s">
        <v>1927</v>
      </c>
      <c r="AK221" s="5"/>
      <c r="AL221" s="5"/>
      <c r="AM221" t="s">
        <v>1928</v>
      </c>
      <c r="AN221" t="s">
        <v>1176</v>
      </c>
    </row>
    <row r="222" spans="1:40" ht="15" customHeight="1">
      <c r="A222" t="s">
        <v>1929</v>
      </c>
      <c r="B222" t="s">
        <v>1930</v>
      </c>
      <c r="C222" s="3">
        <v>45867</v>
      </c>
      <c r="D222" s="3">
        <v>45867</v>
      </c>
      <c r="E222" t="s">
        <v>47</v>
      </c>
      <c r="G222" t="s">
        <v>1931</v>
      </c>
      <c r="H222" t="s">
        <v>1932</v>
      </c>
      <c r="I222" t="s">
        <v>1933</v>
      </c>
      <c r="J222" t="s">
        <v>1934</v>
      </c>
      <c r="K222" t="s">
        <v>1258</v>
      </c>
      <c r="M222" t="s">
        <v>43</v>
      </c>
      <c r="N222" t="s">
        <v>590</v>
      </c>
      <c r="O222" t="s">
        <v>591</v>
      </c>
      <c r="R222" t="s">
        <v>1935</v>
      </c>
      <c r="S222" t="s">
        <v>1936</v>
      </c>
      <c r="T222" t="s">
        <v>1937</v>
      </c>
      <c r="U222" s="5" t="s">
        <v>1938</v>
      </c>
      <c r="V222" s="5" t="s">
        <v>1939</v>
      </c>
      <c r="W222" s="5"/>
      <c r="X222" s="5"/>
      <c r="Y222" s="5"/>
      <c r="Z222" s="5"/>
      <c r="AA222" s="5"/>
      <c r="AB222" s="5"/>
      <c r="AC222" s="10" t="s">
        <v>603</v>
      </c>
      <c r="AD222" s="10"/>
      <c r="AE222" s="10"/>
      <c r="AF222" s="10"/>
      <c r="AG222" s="10"/>
      <c r="AH222" s="10"/>
      <c r="AI222" s="10" t="s">
        <v>604</v>
      </c>
      <c r="AJ222" s="5" t="s">
        <v>1940</v>
      </c>
      <c r="AK222" s="5"/>
      <c r="AL222" s="5"/>
      <c r="AM222" t="s">
        <v>1941</v>
      </c>
      <c r="AN222" t="s">
        <v>84</v>
      </c>
    </row>
    <row r="223" spans="1:40" ht="15" customHeight="1">
      <c r="A223" t="s">
        <v>1942</v>
      </c>
      <c r="B223" t="s">
        <v>1943</v>
      </c>
      <c r="C223" s="3">
        <v>45868</v>
      </c>
      <c r="D223" s="3">
        <v>45873</v>
      </c>
      <c r="E223" t="s">
        <v>457</v>
      </c>
      <c r="G223" t="s">
        <v>1944</v>
      </c>
      <c r="H223" t="s">
        <v>1945</v>
      </c>
      <c r="I223" t="s">
        <v>1946</v>
      </c>
      <c r="J223" t="s">
        <v>65</v>
      </c>
      <c r="K223" t="s">
        <v>374</v>
      </c>
      <c r="M223" t="s">
        <v>43</v>
      </c>
      <c r="N223" t="s">
        <v>599</v>
      </c>
      <c r="O223" t="s">
        <v>551</v>
      </c>
      <c r="R223" t="s">
        <v>1947</v>
      </c>
      <c r="S223" t="s">
        <v>1948</v>
      </c>
      <c r="T223" t="s">
        <v>1949</v>
      </c>
      <c r="U223" s="5" t="s">
        <v>1950</v>
      </c>
      <c r="V223" s="5" t="s">
        <v>1951</v>
      </c>
      <c r="W223" s="5"/>
      <c r="X223" s="5"/>
      <c r="Y223" s="5"/>
      <c r="Z223" s="5"/>
      <c r="AA223" s="5"/>
      <c r="AB223" s="5"/>
      <c r="AC223" s="10" t="s">
        <v>603</v>
      </c>
      <c r="AD223" s="10"/>
      <c r="AE223" s="10"/>
      <c r="AF223" s="10"/>
      <c r="AG223" s="10"/>
      <c r="AH223" s="10"/>
      <c r="AI223" s="10" t="s">
        <v>604</v>
      </c>
      <c r="AJ223" s="5" t="s">
        <v>1952</v>
      </c>
      <c r="AK223" s="5"/>
      <c r="AL223" s="5"/>
      <c r="AM223" t="s">
        <v>1953</v>
      </c>
      <c r="AN223" t="s">
        <v>84</v>
      </c>
    </row>
    <row r="224" spans="1:40" ht="15" customHeight="1">
      <c r="A224" t="s">
        <v>1954</v>
      </c>
      <c r="B224" t="s">
        <v>1955</v>
      </c>
      <c r="C224" s="3">
        <v>45868</v>
      </c>
      <c r="D224" s="3">
        <v>45873</v>
      </c>
      <c r="E224" t="s">
        <v>41</v>
      </c>
      <c r="G224" t="s">
        <v>1956</v>
      </c>
      <c r="H224" t="s">
        <v>1370</v>
      </c>
      <c r="I224" t="s">
        <v>435</v>
      </c>
      <c r="J224" t="s">
        <v>435</v>
      </c>
      <c r="K224" t="s">
        <v>435</v>
      </c>
      <c r="M224" t="s">
        <v>43</v>
      </c>
      <c r="N224" t="s">
        <v>609</v>
      </c>
      <c r="O224" t="s">
        <v>982</v>
      </c>
      <c r="R224" t="s">
        <v>320</v>
      </c>
      <c r="S224" t="s">
        <v>1957</v>
      </c>
      <c r="T224" t="s">
        <v>1958</v>
      </c>
      <c r="U224" s="5" t="s">
        <v>1959</v>
      </c>
      <c r="V224" s="5" t="s">
        <v>1960</v>
      </c>
      <c r="W224" s="5"/>
      <c r="X224" s="5"/>
      <c r="Y224" s="5"/>
      <c r="Z224" s="5"/>
      <c r="AA224" s="5"/>
      <c r="AB224" s="5"/>
      <c r="AC224" s="10" t="s">
        <v>603</v>
      </c>
      <c r="AD224" s="10"/>
      <c r="AE224" s="10"/>
      <c r="AF224" s="10"/>
      <c r="AG224" s="10"/>
      <c r="AH224" s="10"/>
      <c r="AI224" s="10" t="s">
        <v>604</v>
      </c>
      <c r="AJ224" s="5" t="s">
        <v>1961</v>
      </c>
      <c r="AK224" s="5"/>
      <c r="AL224" s="5"/>
      <c r="AM224" t="s">
        <v>1962</v>
      </c>
      <c r="AN224" t="s">
        <v>84</v>
      </c>
    </row>
    <row r="225" spans="1:40" ht="15" customHeight="1">
      <c r="A225" t="s">
        <v>1963</v>
      </c>
      <c r="B225" t="s">
        <v>1964</v>
      </c>
      <c r="C225" s="3">
        <v>45870</v>
      </c>
      <c r="D225" s="3">
        <v>45870</v>
      </c>
      <c r="E225" t="s">
        <v>41</v>
      </c>
      <c r="G225" t="s">
        <v>1965</v>
      </c>
      <c r="H225" t="s">
        <v>779</v>
      </c>
      <c r="I225" t="s">
        <v>109</v>
      </c>
      <c r="J225" t="s">
        <v>1711</v>
      </c>
      <c r="K225" t="s">
        <v>109</v>
      </c>
      <c r="M225" t="s">
        <v>43</v>
      </c>
      <c r="N225" t="s">
        <v>599</v>
      </c>
      <c r="O225" t="s">
        <v>571</v>
      </c>
      <c r="R225" t="s">
        <v>1966</v>
      </c>
      <c r="S225" t="s">
        <v>1967</v>
      </c>
      <c r="T225" t="s">
        <v>1968</v>
      </c>
      <c r="U225" s="5" t="s">
        <v>1969</v>
      </c>
      <c r="V225" s="5" t="s">
        <v>1970</v>
      </c>
      <c r="W225" s="5"/>
      <c r="X225" s="5"/>
      <c r="Y225" s="5"/>
      <c r="Z225" s="5"/>
      <c r="AA225" s="5"/>
      <c r="AB225" s="5"/>
      <c r="AC225" s="10" t="s">
        <v>603</v>
      </c>
      <c r="AD225" s="10"/>
      <c r="AE225" s="10"/>
      <c r="AF225" s="10"/>
      <c r="AG225" s="10"/>
      <c r="AH225" s="10"/>
      <c r="AI225" s="10" t="s">
        <v>604</v>
      </c>
      <c r="AJ225" s="5" t="s">
        <v>1971</v>
      </c>
      <c r="AK225" s="5"/>
      <c r="AL225" s="5"/>
      <c r="AM225" t="s">
        <v>1972</v>
      </c>
      <c r="AN225" t="s">
        <v>1176</v>
      </c>
    </row>
    <row r="226" spans="1:40" ht="15" customHeight="1">
      <c r="A226" t="s">
        <v>1973</v>
      </c>
      <c r="B226" t="s">
        <v>1974</v>
      </c>
      <c r="C226" s="3">
        <v>45873</v>
      </c>
      <c r="D226" s="3">
        <v>45889</v>
      </c>
      <c r="E226" t="s">
        <v>47</v>
      </c>
      <c r="G226" t="s">
        <v>1975</v>
      </c>
      <c r="H226" t="s">
        <v>1976</v>
      </c>
      <c r="I226" t="s">
        <v>1977</v>
      </c>
      <c r="J226" t="s">
        <v>1683</v>
      </c>
      <c r="K226" t="s">
        <v>1978</v>
      </c>
      <c r="M226" t="s">
        <v>43</v>
      </c>
      <c r="N226" t="s">
        <v>632</v>
      </c>
      <c r="O226" t="s">
        <v>982</v>
      </c>
      <c r="R226" t="s">
        <v>1979</v>
      </c>
      <c r="S226" t="s">
        <v>1980</v>
      </c>
      <c r="T226" t="s">
        <v>1981</v>
      </c>
      <c r="U226" s="5" t="s">
        <v>1982</v>
      </c>
      <c r="V226" s="5" t="s">
        <v>1983</v>
      </c>
      <c r="W226" s="5"/>
      <c r="X226" s="5"/>
      <c r="Y226" s="5"/>
      <c r="Z226" s="5"/>
      <c r="AA226" s="5"/>
      <c r="AB226" s="5"/>
      <c r="AC226" s="10" t="s">
        <v>603</v>
      </c>
      <c r="AD226" s="10"/>
      <c r="AE226" s="10"/>
      <c r="AF226" s="10"/>
      <c r="AG226" s="10"/>
      <c r="AH226" s="10"/>
      <c r="AI226" s="10" t="s">
        <v>604</v>
      </c>
      <c r="AJ226" s="5" t="s">
        <v>1984</v>
      </c>
      <c r="AK226" s="5"/>
      <c r="AL226" s="5"/>
      <c r="AM226" t="s">
        <v>1985</v>
      </c>
      <c r="AN226" t="s">
        <v>84</v>
      </c>
    </row>
    <row r="227" spans="1:40" ht="15" customHeight="1">
      <c r="A227" t="s">
        <v>1986</v>
      </c>
      <c r="B227" t="s">
        <v>1987</v>
      </c>
      <c r="C227" s="3">
        <v>45873</v>
      </c>
      <c r="D227" s="3">
        <v>45891</v>
      </c>
      <c r="E227" t="s">
        <v>47</v>
      </c>
      <c r="G227" t="s">
        <v>1988</v>
      </c>
      <c r="H227" t="s">
        <v>850</v>
      </c>
      <c r="I227" t="s">
        <v>48</v>
      </c>
      <c r="J227" t="s">
        <v>1711</v>
      </c>
      <c r="K227" t="s">
        <v>48</v>
      </c>
      <c r="M227" t="s">
        <v>43</v>
      </c>
      <c r="N227" t="s">
        <v>599</v>
      </c>
      <c r="O227" t="s">
        <v>571</v>
      </c>
      <c r="R227" t="s">
        <v>852</v>
      </c>
      <c r="S227" t="s">
        <v>1989</v>
      </c>
      <c r="T227" t="s">
        <v>1990</v>
      </c>
      <c r="U227" s="5" t="s">
        <v>1991</v>
      </c>
      <c r="V227" s="5" t="s">
        <v>1992</v>
      </c>
      <c r="W227" s="5"/>
      <c r="X227" s="5"/>
      <c r="Y227" s="5"/>
      <c r="Z227" s="5"/>
      <c r="AA227" s="5"/>
      <c r="AB227" s="5"/>
      <c r="AC227" s="10" t="s">
        <v>603</v>
      </c>
      <c r="AD227" s="10"/>
      <c r="AE227" s="10"/>
      <c r="AF227" s="10"/>
      <c r="AG227" s="10"/>
      <c r="AH227" s="10"/>
      <c r="AI227" s="10" t="s">
        <v>604</v>
      </c>
      <c r="AJ227" s="5" t="s">
        <v>1993</v>
      </c>
      <c r="AK227" s="5"/>
      <c r="AL227" s="5"/>
      <c r="AM227" t="s">
        <v>1994</v>
      </c>
      <c r="AN227" t="s">
        <v>1176</v>
      </c>
    </row>
    <row r="228" spans="1:40" ht="15" customHeight="1">
      <c r="A228" t="s">
        <v>1995</v>
      </c>
      <c r="B228" t="s">
        <v>1996</v>
      </c>
      <c r="C228" s="3">
        <v>45873</v>
      </c>
      <c r="D228" s="3">
        <v>45923</v>
      </c>
      <c r="E228" t="s">
        <v>47</v>
      </c>
      <c r="G228" t="s">
        <v>1997</v>
      </c>
      <c r="H228" t="s">
        <v>850</v>
      </c>
      <c r="I228" t="s">
        <v>48</v>
      </c>
      <c r="J228" t="s">
        <v>1711</v>
      </c>
      <c r="K228" t="s">
        <v>48</v>
      </c>
      <c r="M228" t="s">
        <v>43</v>
      </c>
      <c r="N228" t="s">
        <v>1998</v>
      </c>
      <c r="O228" t="s">
        <v>571</v>
      </c>
      <c r="R228" t="s">
        <v>1999</v>
      </c>
      <c r="S228" t="s">
        <v>2000</v>
      </c>
      <c r="T228" t="s">
        <v>2001</v>
      </c>
      <c r="U228" s="5" t="s">
        <v>2002</v>
      </c>
      <c r="V228" s="5" t="s">
        <v>2003</v>
      </c>
      <c r="W228" s="5"/>
      <c r="X228" s="5"/>
      <c r="Y228" s="5"/>
      <c r="Z228" s="5"/>
      <c r="AA228" s="5"/>
      <c r="AB228" s="5"/>
      <c r="AC228" s="10" t="s">
        <v>603</v>
      </c>
      <c r="AD228" s="10"/>
      <c r="AE228" s="10"/>
      <c r="AF228" s="10"/>
      <c r="AG228" s="10"/>
      <c r="AH228" s="10"/>
      <c r="AI228" s="10" t="s">
        <v>604</v>
      </c>
      <c r="AJ228" s="5" t="s">
        <v>1927</v>
      </c>
      <c r="AK228" s="5"/>
      <c r="AL228" s="5"/>
      <c r="AM228" t="s">
        <v>2004</v>
      </c>
      <c r="AN228" t="s">
        <v>1176</v>
      </c>
    </row>
    <row r="229" spans="1:40" ht="15" customHeight="1">
      <c r="A229" t="s">
        <v>2005</v>
      </c>
      <c r="B229" t="s">
        <v>2006</v>
      </c>
      <c r="C229" s="3">
        <v>45874</v>
      </c>
      <c r="D229" s="3">
        <v>45923</v>
      </c>
      <c r="E229" t="s">
        <v>47</v>
      </c>
      <c r="G229" t="s">
        <v>2007</v>
      </c>
      <c r="H229" t="s">
        <v>884</v>
      </c>
      <c r="I229" t="s">
        <v>181</v>
      </c>
      <c r="J229" t="s">
        <v>1711</v>
      </c>
      <c r="K229" t="s">
        <v>181</v>
      </c>
      <c r="M229" t="s">
        <v>43</v>
      </c>
      <c r="N229" t="s">
        <v>599</v>
      </c>
      <c r="O229" t="s">
        <v>571</v>
      </c>
      <c r="R229" t="s">
        <v>2008</v>
      </c>
      <c r="S229" t="s">
        <v>2009</v>
      </c>
      <c r="T229" t="s">
        <v>2010</v>
      </c>
      <c r="U229" s="5" t="s">
        <v>2011</v>
      </c>
      <c r="V229" s="5" t="s">
        <v>2012</v>
      </c>
      <c r="W229" s="5"/>
      <c r="X229" s="5"/>
      <c r="Y229" s="5"/>
      <c r="Z229" s="5"/>
      <c r="AA229" s="5"/>
      <c r="AB229" s="5"/>
      <c r="AC229" s="10" t="s">
        <v>603</v>
      </c>
      <c r="AD229" s="10"/>
      <c r="AE229" s="10"/>
      <c r="AF229" s="10"/>
      <c r="AG229" s="10"/>
      <c r="AH229" s="10"/>
      <c r="AI229" s="10" t="s">
        <v>604</v>
      </c>
      <c r="AJ229" s="5" t="s">
        <v>1927</v>
      </c>
      <c r="AK229" s="5"/>
      <c r="AL229" s="5"/>
      <c r="AM229" t="s">
        <v>2013</v>
      </c>
      <c r="AN229" t="s">
        <v>1176</v>
      </c>
    </row>
    <row r="230" spans="1:40" ht="15" customHeight="1">
      <c r="A230" t="s">
        <v>2014</v>
      </c>
      <c r="B230" t="s">
        <v>2015</v>
      </c>
      <c r="C230" s="3">
        <v>45875</v>
      </c>
      <c r="D230" s="3">
        <v>45883</v>
      </c>
      <c r="E230" t="s">
        <v>457</v>
      </c>
      <c r="G230" t="s">
        <v>2016</v>
      </c>
      <c r="H230" t="s">
        <v>2017</v>
      </c>
      <c r="I230" t="s">
        <v>42</v>
      </c>
      <c r="J230" t="s">
        <v>1683</v>
      </c>
      <c r="K230" t="s">
        <v>2018</v>
      </c>
      <c r="M230" t="s">
        <v>43</v>
      </c>
      <c r="N230" t="s">
        <v>590</v>
      </c>
      <c r="O230" t="s">
        <v>591</v>
      </c>
      <c r="R230" t="s">
        <v>2019</v>
      </c>
      <c r="S230" t="s">
        <v>2020</v>
      </c>
      <c r="T230" t="s">
        <v>2021</v>
      </c>
      <c r="U230" s="5" t="s">
        <v>2022</v>
      </c>
      <c r="V230" s="5" t="s">
        <v>2023</v>
      </c>
      <c r="W230" s="5"/>
      <c r="X230" s="5"/>
      <c r="Y230" s="5"/>
      <c r="Z230" s="5"/>
      <c r="AA230" s="5"/>
      <c r="AB230" s="5"/>
      <c r="AC230" s="10" t="s">
        <v>603</v>
      </c>
      <c r="AD230" s="10"/>
      <c r="AE230" s="10"/>
      <c r="AF230" s="10"/>
      <c r="AG230" s="10"/>
      <c r="AH230" s="10"/>
      <c r="AI230" s="10" t="s">
        <v>604</v>
      </c>
      <c r="AJ230" s="5" t="s">
        <v>1909</v>
      </c>
      <c r="AK230" s="5"/>
      <c r="AL230" s="5"/>
      <c r="AM230" t="s">
        <v>2024</v>
      </c>
      <c r="AN230" t="s">
        <v>84</v>
      </c>
    </row>
    <row r="231" spans="1:40" ht="15" customHeight="1">
      <c r="A231" t="s">
        <v>2025</v>
      </c>
      <c r="B231" t="s">
        <v>2026</v>
      </c>
      <c r="C231" s="3">
        <v>45875</v>
      </c>
      <c r="D231" s="3">
        <v>45881</v>
      </c>
      <c r="E231" t="s">
        <v>41</v>
      </c>
      <c r="G231" t="s">
        <v>2027</v>
      </c>
      <c r="H231" t="s">
        <v>2028</v>
      </c>
      <c r="I231" t="s">
        <v>374</v>
      </c>
      <c r="J231" t="s">
        <v>65</v>
      </c>
      <c r="K231" t="s">
        <v>374</v>
      </c>
      <c r="M231" t="s">
        <v>43</v>
      </c>
      <c r="N231" t="s">
        <v>599</v>
      </c>
      <c r="O231" t="s">
        <v>551</v>
      </c>
      <c r="R231" t="s">
        <v>182</v>
      </c>
      <c r="S231" t="s">
        <v>2029</v>
      </c>
      <c r="T231" t="s">
        <v>2030</v>
      </c>
      <c r="U231" s="5" t="s">
        <v>2031</v>
      </c>
      <c r="V231" s="5" t="s">
        <v>2032</v>
      </c>
      <c r="W231" s="5"/>
      <c r="X231" s="5"/>
      <c r="Y231" s="5"/>
      <c r="Z231" s="5"/>
      <c r="AA231" s="5"/>
      <c r="AB231" s="5"/>
      <c r="AC231" s="10" t="s">
        <v>603</v>
      </c>
      <c r="AD231" s="10"/>
      <c r="AE231" s="10"/>
      <c r="AF231" s="10"/>
      <c r="AG231" s="10"/>
      <c r="AH231" s="10"/>
      <c r="AI231" s="10" t="s">
        <v>604</v>
      </c>
      <c r="AJ231" s="5" t="s">
        <v>2033</v>
      </c>
      <c r="AK231" s="5"/>
      <c r="AL231" s="5"/>
      <c r="AM231" t="s">
        <v>2034</v>
      </c>
      <c r="AN231" t="s">
        <v>84</v>
      </c>
    </row>
    <row r="232" spans="1:40" ht="15" customHeight="1">
      <c r="A232" t="s">
        <v>2035</v>
      </c>
      <c r="B232" t="s">
        <v>2036</v>
      </c>
      <c r="C232" s="3">
        <v>45876</v>
      </c>
      <c r="D232" s="3">
        <v>45887</v>
      </c>
      <c r="E232" t="s">
        <v>41</v>
      </c>
      <c r="G232" t="s">
        <v>2037</v>
      </c>
      <c r="H232" t="s">
        <v>1976</v>
      </c>
      <c r="I232" t="s">
        <v>2038</v>
      </c>
      <c r="J232" t="s">
        <v>1683</v>
      </c>
      <c r="K232" t="s">
        <v>2039</v>
      </c>
      <c r="M232" t="s">
        <v>43</v>
      </c>
      <c r="N232" t="s">
        <v>609</v>
      </c>
      <c r="O232" t="s">
        <v>982</v>
      </c>
      <c r="R232" t="s">
        <v>151</v>
      </c>
      <c r="S232" t="s">
        <v>2040</v>
      </c>
      <c r="T232" t="s">
        <v>2041</v>
      </c>
      <c r="U232" s="5" t="s">
        <v>2042</v>
      </c>
      <c r="V232" s="5" t="s">
        <v>2043</v>
      </c>
      <c r="W232" s="5"/>
      <c r="X232" s="5"/>
      <c r="Y232" s="5"/>
      <c r="Z232" s="5"/>
      <c r="AA232" s="5"/>
      <c r="AB232" s="5"/>
      <c r="AC232" s="10" t="s">
        <v>603</v>
      </c>
      <c r="AD232" s="10"/>
      <c r="AE232" s="10"/>
      <c r="AF232" s="10"/>
      <c r="AG232" s="10"/>
      <c r="AH232" s="10"/>
      <c r="AI232" s="10" t="s">
        <v>604</v>
      </c>
      <c r="AJ232" s="5" t="s">
        <v>2044</v>
      </c>
      <c r="AK232" s="5"/>
      <c r="AL232" s="5"/>
      <c r="AM232" t="s">
        <v>2045</v>
      </c>
      <c r="AN232" t="s">
        <v>84</v>
      </c>
    </row>
    <row r="233" spans="1:40" ht="15" customHeight="1">
      <c r="A233" t="s">
        <v>2046</v>
      </c>
      <c r="B233" t="s">
        <v>2047</v>
      </c>
      <c r="C233" s="3">
        <v>45876</v>
      </c>
      <c r="D233" s="3">
        <v>45880</v>
      </c>
      <c r="E233" t="s">
        <v>1189</v>
      </c>
      <c r="G233" t="s">
        <v>2048</v>
      </c>
      <c r="H233" t="s">
        <v>1234</v>
      </c>
      <c r="I233" t="s">
        <v>352</v>
      </c>
      <c r="J233" t="s">
        <v>352</v>
      </c>
      <c r="K233" t="s">
        <v>2049</v>
      </c>
      <c r="M233" t="s">
        <v>43</v>
      </c>
      <c r="N233" t="s">
        <v>609</v>
      </c>
      <c r="O233" t="s">
        <v>2050</v>
      </c>
      <c r="R233" t="s">
        <v>151</v>
      </c>
      <c r="S233" t="s">
        <v>2051</v>
      </c>
      <c r="T233" t="s">
        <v>2052</v>
      </c>
      <c r="U233" s="5" t="s">
        <v>2053</v>
      </c>
      <c r="V233" s="5" t="s">
        <v>2054</v>
      </c>
      <c r="W233" s="5"/>
      <c r="X233" s="5"/>
      <c r="Y233" s="5"/>
      <c r="Z233" s="5"/>
      <c r="AA233" s="5"/>
      <c r="AB233" s="5"/>
      <c r="AC233" s="10" t="s">
        <v>603</v>
      </c>
      <c r="AD233" s="10"/>
      <c r="AE233" s="10"/>
      <c r="AF233" s="10"/>
      <c r="AG233" s="10"/>
      <c r="AH233" s="10"/>
      <c r="AI233" s="10" t="s">
        <v>604</v>
      </c>
      <c r="AJ233" s="5" t="s">
        <v>2055</v>
      </c>
      <c r="AK233" s="5"/>
      <c r="AL233" s="5"/>
      <c r="AM233" t="s">
        <v>2056</v>
      </c>
      <c r="AN233" t="s">
        <v>1176</v>
      </c>
    </row>
    <row r="234" spans="1:40" ht="15" customHeight="1">
      <c r="A234" t="s">
        <v>2057</v>
      </c>
      <c r="B234" t="s">
        <v>2058</v>
      </c>
      <c r="C234" s="3">
        <v>45877</v>
      </c>
      <c r="D234" s="3">
        <v>45881</v>
      </c>
      <c r="E234" t="s">
        <v>47</v>
      </c>
      <c r="G234" t="s">
        <v>2059</v>
      </c>
      <c r="H234" t="s">
        <v>904</v>
      </c>
      <c r="I234" t="s">
        <v>65</v>
      </c>
      <c r="J234" t="s">
        <v>65</v>
      </c>
      <c r="K234" t="s">
        <v>65</v>
      </c>
      <c r="M234" t="s">
        <v>43</v>
      </c>
      <c r="N234" t="s">
        <v>609</v>
      </c>
      <c r="O234" t="s">
        <v>982</v>
      </c>
      <c r="R234" t="s">
        <v>830</v>
      </c>
      <c r="S234" t="s">
        <v>2060</v>
      </c>
      <c r="T234" t="s">
        <v>2061</v>
      </c>
      <c r="U234" s="5" t="s">
        <v>2062</v>
      </c>
      <c r="V234" s="5" t="s">
        <v>2063</v>
      </c>
      <c r="W234" s="5"/>
      <c r="X234" s="5"/>
      <c r="Y234" s="5"/>
      <c r="Z234" s="5"/>
      <c r="AA234" s="5"/>
      <c r="AB234" s="5"/>
      <c r="AC234" s="10" t="s">
        <v>603</v>
      </c>
      <c r="AD234" s="10"/>
      <c r="AE234" s="10"/>
      <c r="AF234" s="10"/>
      <c r="AG234" s="10"/>
      <c r="AH234" s="10"/>
      <c r="AI234" s="10" t="s">
        <v>604</v>
      </c>
      <c r="AJ234" s="5" t="s">
        <v>2064</v>
      </c>
      <c r="AK234" s="5"/>
      <c r="AL234" s="5"/>
      <c r="AM234" t="s">
        <v>2065</v>
      </c>
      <c r="AN234" t="s">
        <v>84</v>
      </c>
    </row>
    <row r="235" spans="1:40" ht="15" customHeight="1">
      <c r="A235" t="s">
        <v>2066</v>
      </c>
      <c r="B235" t="s">
        <v>2067</v>
      </c>
      <c r="C235" s="3">
        <v>45880</v>
      </c>
      <c r="D235" s="3">
        <v>45880</v>
      </c>
      <c r="E235" t="s">
        <v>47</v>
      </c>
      <c r="G235" t="s">
        <v>2068</v>
      </c>
      <c r="H235" t="s">
        <v>2069</v>
      </c>
      <c r="I235" t="s">
        <v>243</v>
      </c>
      <c r="J235" t="s">
        <v>252</v>
      </c>
      <c r="K235" t="s">
        <v>2070</v>
      </c>
      <c r="M235" t="s">
        <v>43</v>
      </c>
      <c r="N235" t="s">
        <v>599</v>
      </c>
      <c r="O235" t="s">
        <v>1221</v>
      </c>
      <c r="R235" t="s">
        <v>2071</v>
      </c>
      <c r="S235" t="s">
        <v>2072</v>
      </c>
      <c r="T235" t="s">
        <v>2073</v>
      </c>
      <c r="U235" s="5" t="s">
        <v>2074</v>
      </c>
      <c r="V235" s="5" t="s">
        <v>2075</v>
      </c>
      <c r="W235" s="5"/>
      <c r="X235" s="5"/>
      <c r="Y235" s="5"/>
      <c r="Z235" s="5"/>
      <c r="AA235" s="5"/>
      <c r="AB235" s="5"/>
      <c r="AC235" s="10" t="s">
        <v>603</v>
      </c>
      <c r="AD235" s="10"/>
      <c r="AE235" s="10"/>
      <c r="AF235" s="10"/>
      <c r="AG235" s="10"/>
      <c r="AH235" s="10"/>
      <c r="AI235" s="10" t="s">
        <v>604</v>
      </c>
      <c r="AJ235" s="5" t="s">
        <v>317</v>
      </c>
      <c r="AK235" s="5"/>
      <c r="AL235" s="5"/>
      <c r="AM235" t="s">
        <v>2076</v>
      </c>
      <c r="AN235" t="s">
        <v>1176</v>
      </c>
    </row>
    <row r="236" spans="1:40" ht="15" customHeight="1">
      <c r="A236" t="s">
        <v>2077</v>
      </c>
      <c r="B236" t="s">
        <v>2078</v>
      </c>
      <c r="C236" s="3">
        <v>45881</v>
      </c>
      <c r="D236" s="3">
        <v>45883</v>
      </c>
      <c r="E236" t="s">
        <v>47</v>
      </c>
      <c r="G236" t="s">
        <v>2079</v>
      </c>
      <c r="H236" t="s">
        <v>1013</v>
      </c>
      <c r="I236" t="s">
        <v>668</v>
      </c>
      <c r="J236" t="s">
        <v>1795</v>
      </c>
      <c r="K236" t="s">
        <v>2080</v>
      </c>
      <c r="M236" t="s">
        <v>43</v>
      </c>
      <c r="N236" t="s">
        <v>599</v>
      </c>
      <c r="O236" t="s">
        <v>670</v>
      </c>
      <c r="R236" t="s">
        <v>320</v>
      </c>
      <c r="S236" t="s">
        <v>2081</v>
      </c>
      <c r="T236" t="s">
        <v>2082</v>
      </c>
      <c r="U236" s="5" t="s">
        <v>2083</v>
      </c>
      <c r="V236" s="5" t="s">
        <v>2084</v>
      </c>
      <c r="W236" s="5"/>
      <c r="X236" s="5"/>
      <c r="Y236" s="5"/>
      <c r="Z236" s="5"/>
      <c r="AA236" s="5"/>
      <c r="AB236" s="5"/>
      <c r="AC236" s="10" t="s">
        <v>603</v>
      </c>
      <c r="AD236" s="10"/>
      <c r="AE236" s="10"/>
      <c r="AF236" s="10"/>
      <c r="AG236" s="10"/>
      <c r="AH236" s="10"/>
      <c r="AI236" s="10" t="s">
        <v>604</v>
      </c>
      <c r="AJ236" s="5" t="s">
        <v>2085</v>
      </c>
      <c r="AK236" s="5"/>
      <c r="AL236" s="5"/>
      <c r="AM236" t="s">
        <v>2086</v>
      </c>
      <c r="AN236" t="s">
        <v>84</v>
      </c>
    </row>
    <row r="237" spans="1:40" ht="15" customHeight="1">
      <c r="A237" t="s">
        <v>2087</v>
      </c>
      <c r="B237" t="s">
        <v>2088</v>
      </c>
      <c r="C237" s="3">
        <v>45884</v>
      </c>
      <c r="D237" s="3">
        <v>45884</v>
      </c>
      <c r="E237" t="s">
        <v>47</v>
      </c>
      <c r="G237" t="s">
        <v>2089</v>
      </c>
      <c r="H237" t="s">
        <v>787</v>
      </c>
      <c r="I237" t="s">
        <v>252</v>
      </c>
      <c r="J237" t="s">
        <v>252</v>
      </c>
      <c r="K237" t="s">
        <v>611</v>
      </c>
      <c r="M237" t="s">
        <v>43</v>
      </c>
      <c r="N237" t="s">
        <v>590</v>
      </c>
      <c r="O237" t="s">
        <v>2090</v>
      </c>
      <c r="R237" t="s">
        <v>2091</v>
      </c>
      <c r="S237" t="s">
        <v>2092</v>
      </c>
      <c r="T237" t="s">
        <v>2093</v>
      </c>
      <c r="U237" s="5" t="s">
        <v>2094</v>
      </c>
      <c r="V237" s="5" t="s">
        <v>2095</v>
      </c>
      <c r="W237" s="5"/>
      <c r="X237" s="5"/>
      <c r="Y237" s="5"/>
      <c r="Z237" s="5"/>
      <c r="AA237" s="5"/>
      <c r="AB237" s="5"/>
      <c r="AC237" s="10" t="s">
        <v>603</v>
      </c>
      <c r="AD237" s="10"/>
      <c r="AE237" s="10"/>
      <c r="AF237" s="10"/>
      <c r="AG237" s="10"/>
      <c r="AH237" s="10"/>
      <c r="AI237" s="10" t="s">
        <v>604</v>
      </c>
      <c r="AJ237" s="5" t="s">
        <v>2096</v>
      </c>
      <c r="AK237" s="5"/>
      <c r="AL237" s="5"/>
      <c r="AM237" t="s">
        <v>2097</v>
      </c>
      <c r="AN237" t="s">
        <v>84</v>
      </c>
    </row>
    <row r="238" spans="1:40" ht="15" customHeight="1">
      <c r="A238" t="s">
        <v>2098</v>
      </c>
      <c r="B238" t="s">
        <v>2099</v>
      </c>
      <c r="C238" s="3">
        <v>45884</v>
      </c>
      <c r="D238" s="3">
        <v>45884</v>
      </c>
      <c r="E238" t="s">
        <v>47</v>
      </c>
      <c r="G238" t="s">
        <v>2100</v>
      </c>
      <c r="H238" t="s">
        <v>1013</v>
      </c>
      <c r="I238" t="s">
        <v>668</v>
      </c>
      <c r="J238" t="s">
        <v>1795</v>
      </c>
      <c r="K238" t="s">
        <v>2101</v>
      </c>
      <c r="M238" t="s">
        <v>43</v>
      </c>
      <c r="N238" t="s">
        <v>632</v>
      </c>
      <c r="O238" t="s">
        <v>670</v>
      </c>
      <c r="R238" t="s">
        <v>2102</v>
      </c>
      <c r="S238" t="s">
        <v>2103</v>
      </c>
      <c r="T238" t="s">
        <v>2104</v>
      </c>
      <c r="U238" s="5" t="s">
        <v>2105</v>
      </c>
      <c r="V238" s="5" t="s">
        <v>2106</v>
      </c>
      <c r="W238" s="5"/>
      <c r="X238" s="5"/>
      <c r="Y238" s="5"/>
      <c r="Z238" s="5"/>
      <c r="AA238" s="5"/>
      <c r="AB238" s="5"/>
      <c r="AC238" s="10" t="s">
        <v>603</v>
      </c>
      <c r="AD238" s="10"/>
      <c r="AE238" s="10"/>
      <c r="AF238" s="10"/>
      <c r="AG238" s="10"/>
      <c r="AH238" s="10"/>
      <c r="AI238" s="10" t="s">
        <v>604</v>
      </c>
      <c r="AJ238" s="5" t="s">
        <v>2107</v>
      </c>
      <c r="AK238" s="5"/>
      <c r="AL238" s="5"/>
      <c r="AM238" t="s">
        <v>2108</v>
      </c>
      <c r="AN238" t="s">
        <v>84</v>
      </c>
    </row>
    <row r="239" spans="1:40" ht="15" customHeight="1">
      <c r="A239" t="s">
        <v>2109</v>
      </c>
      <c r="B239" t="s">
        <v>2110</v>
      </c>
      <c r="C239" s="3">
        <v>45884</v>
      </c>
      <c r="D239" s="3">
        <v>45884</v>
      </c>
      <c r="E239" t="s">
        <v>47</v>
      </c>
      <c r="G239" t="s">
        <v>2111</v>
      </c>
      <c r="H239" t="s">
        <v>838</v>
      </c>
      <c r="I239" t="s">
        <v>233</v>
      </c>
      <c r="J239" t="s">
        <v>1683</v>
      </c>
      <c r="K239" t="s">
        <v>839</v>
      </c>
      <c r="M239" t="s">
        <v>43</v>
      </c>
      <c r="N239" t="s">
        <v>840</v>
      </c>
      <c r="O239" t="s">
        <v>2112</v>
      </c>
      <c r="R239" t="s">
        <v>2113</v>
      </c>
      <c r="S239" t="s">
        <v>2114</v>
      </c>
      <c r="T239" t="s">
        <v>2115</v>
      </c>
      <c r="U239" s="5" t="s">
        <v>2116</v>
      </c>
      <c r="V239" s="5" t="s">
        <v>2117</v>
      </c>
      <c r="W239" s="5"/>
      <c r="X239" s="5"/>
      <c r="Y239" s="5"/>
      <c r="Z239" s="5"/>
      <c r="AA239" s="5"/>
      <c r="AB239" s="5"/>
      <c r="AC239" s="10" t="s">
        <v>603</v>
      </c>
      <c r="AD239" s="10"/>
      <c r="AE239" s="10"/>
      <c r="AF239" s="10"/>
      <c r="AG239" s="10"/>
      <c r="AH239" s="10"/>
      <c r="AI239" s="10" t="s">
        <v>604</v>
      </c>
      <c r="AJ239" s="5" t="s">
        <v>317</v>
      </c>
      <c r="AK239" s="5"/>
      <c r="AL239" s="5"/>
      <c r="AM239" t="s">
        <v>2118</v>
      </c>
      <c r="AN239" t="s">
        <v>84</v>
      </c>
    </row>
    <row r="240" spans="1:40" ht="15" customHeight="1">
      <c r="A240" t="s">
        <v>2119</v>
      </c>
      <c r="B240" t="s">
        <v>2120</v>
      </c>
      <c r="C240" s="3">
        <v>45884</v>
      </c>
      <c r="D240" s="3">
        <v>45889</v>
      </c>
      <c r="E240" t="s">
        <v>47</v>
      </c>
      <c r="G240" t="s">
        <v>2121</v>
      </c>
      <c r="H240" t="s">
        <v>942</v>
      </c>
      <c r="I240" t="s">
        <v>169</v>
      </c>
      <c r="J240" t="s">
        <v>352</v>
      </c>
      <c r="K240" t="s">
        <v>169</v>
      </c>
      <c r="M240" t="s">
        <v>43</v>
      </c>
      <c r="N240" t="s">
        <v>590</v>
      </c>
      <c r="O240" t="s">
        <v>591</v>
      </c>
      <c r="R240" t="s">
        <v>320</v>
      </c>
      <c r="S240" t="s">
        <v>2122</v>
      </c>
      <c r="T240" t="s">
        <v>2123</v>
      </c>
      <c r="U240" s="5" t="s">
        <v>2124</v>
      </c>
      <c r="V240" s="5" t="s">
        <v>2125</v>
      </c>
      <c r="W240" s="5"/>
      <c r="X240" s="5"/>
      <c r="Y240" s="5"/>
      <c r="Z240" s="5"/>
      <c r="AA240" s="5"/>
      <c r="AB240" s="5"/>
      <c r="AC240" s="10" t="s">
        <v>603</v>
      </c>
      <c r="AD240" s="10"/>
      <c r="AE240" s="10"/>
      <c r="AF240" s="10"/>
      <c r="AG240" s="10"/>
      <c r="AH240" s="10"/>
      <c r="AI240" s="10" t="s">
        <v>604</v>
      </c>
      <c r="AJ240" s="5" t="s">
        <v>317</v>
      </c>
      <c r="AK240" s="5"/>
      <c r="AL240" s="5"/>
      <c r="AM240" t="s">
        <v>2126</v>
      </c>
      <c r="AN240" t="s">
        <v>84</v>
      </c>
    </row>
    <row r="241" spans="1:40" ht="15" customHeight="1">
      <c r="A241" t="s">
        <v>2127</v>
      </c>
      <c r="B241" t="s">
        <v>2128</v>
      </c>
      <c r="C241" s="3">
        <v>45884</v>
      </c>
      <c r="D241" s="3">
        <v>45887</v>
      </c>
      <c r="E241" t="s">
        <v>47</v>
      </c>
      <c r="G241" t="s">
        <v>2129</v>
      </c>
      <c r="H241" t="s">
        <v>884</v>
      </c>
      <c r="I241" t="s">
        <v>181</v>
      </c>
      <c r="J241" t="s">
        <v>1711</v>
      </c>
      <c r="K241" t="s">
        <v>181</v>
      </c>
      <c r="M241" t="s">
        <v>43</v>
      </c>
      <c r="N241" t="s">
        <v>599</v>
      </c>
      <c r="O241" t="s">
        <v>2130</v>
      </c>
      <c r="R241" t="s">
        <v>270</v>
      </c>
      <c r="S241" t="s">
        <v>2131</v>
      </c>
      <c r="T241" t="s">
        <v>2132</v>
      </c>
      <c r="U241" s="5" t="s">
        <v>2133</v>
      </c>
      <c r="V241" s="5" t="s">
        <v>2134</v>
      </c>
      <c r="W241" s="5"/>
      <c r="X241" s="5"/>
      <c r="Y241" s="5"/>
      <c r="Z241" s="5"/>
      <c r="AA241" s="5"/>
      <c r="AB241" s="5"/>
      <c r="AC241" s="10" t="s">
        <v>603</v>
      </c>
      <c r="AD241" s="10"/>
      <c r="AE241" s="10"/>
      <c r="AF241" s="10"/>
      <c r="AG241" s="10"/>
      <c r="AH241" s="10"/>
      <c r="AI241" s="10" t="s">
        <v>604</v>
      </c>
      <c r="AJ241" s="5" t="s">
        <v>1918</v>
      </c>
      <c r="AK241" s="5"/>
      <c r="AL241" s="5"/>
      <c r="AM241" t="s">
        <v>2135</v>
      </c>
      <c r="AN241" t="s">
        <v>1176</v>
      </c>
    </row>
    <row r="242" spans="1:40" ht="15" customHeight="1">
      <c r="A242" t="s">
        <v>2136</v>
      </c>
      <c r="B242" t="s">
        <v>2137</v>
      </c>
      <c r="C242" s="3">
        <v>45884</v>
      </c>
      <c r="D242" s="3">
        <v>45888</v>
      </c>
      <c r="E242" t="s">
        <v>41</v>
      </c>
      <c r="G242" t="s">
        <v>2138</v>
      </c>
      <c r="H242" t="s">
        <v>838</v>
      </c>
      <c r="I242" t="s">
        <v>233</v>
      </c>
      <c r="J242" t="s">
        <v>1795</v>
      </c>
      <c r="K242" t="s">
        <v>2139</v>
      </c>
      <c r="M242" t="s">
        <v>43</v>
      </c>
      <c r="N242" t="s">
        <v>632</v>
      </c>
      <c r="O242" t="s">
        <v>670</v>
      </c>
      <c r="R242" t="s">
        <v>2140</v>
      </c>
      <c r="S242" t="s">
        <v>2141</v>
      </c>
      <c r="T242" t="s">
        <v>2142</v>
      </c>
      <c r="U242" s="5" t="s">
        <v>2143</v>
      </c>
      <c r="V242" s="5" t="s">
        <v>2144</v>
      </c>
      <c r="W242" s="5"/>
      <c r="X242" s="5"/>
      <c r="Y242" s="5"/>
      <c r="Z242" s="5"/>
      <c r="AA242" s="5"/>
      <c r="AB242" s="5"/>
      <c r="AC242" s="10" t="s">
        <v>603</v>
      </c>
      <c r="AD242" s="10"/>
      <c r="AE242" s="10"/>
      <c r="AF242" s="10"/>
      <c r="AG242" s="10"/>
      <c r="AH242" s="10"/>
      <c r="AI242" s="10" t="s">
        <v>604</v>
      </c>
      <c r="AJ242" s="5" t="s">
        <v>2145</v>
      </c>
      <c r="AK242" s="5"/>
      <c r="AL242" s="5"/>
      <c r="AM242" t="s">
        <v>2146</v>
      </c>
      <c r="AN242" t="s">
        <v>84</v>
      </c>
    </row>
    <row r="243" spans="1:40" ht="15" customHeight="1">
      <c r="A243" t="s">
        <v>2147</v>
      </c>
      <c r="B243" t="s">
        <v>2148</v>
      </c>
      <c r="C243" s="3">
        <v>45887</v>
      </c>
      <c r="D243" s="3">
        <v>45888</v>
      </c>
      <c r="E243" t="s">
        <v>41</v>
      </c>
      <c r="G243" t="s">
        <v>2149</v>
      </c>
      <c r="H243" t="s">
        <v>1013</v>
      </c>
      <c r="I243" t="s">
        <v>668</v>
      </c>
      <c r="J243" t="s">
        <v>1795</v>
      </c>
      <c r="K243" t="s">
        <v>2150</v>
      </c>
      <c r="M243" t="s">
        <v>43</v>
      </c>
      <c r="N243" t="s">
        <v>632</v>
      </c>
      <c r="O243" t="s">
        <v>670</v>
      </c>
      <c r="R243" t="s">
        <v>235</v>
      </c>
      <c r="S243" t="s">
        <v>2151</v>
      </c>
      <c r="T243" t="s">
        <v>2152</v>
      </c>
      <c r="U243" s="5" t="s">
        <v>2153</v>
      </c>
      <c r="V243" s="5" t="s">
        <v>2154</v>
      </c>
      <c r="W243" s="5"/>
      <c r="X243" s="5"/>
      <c r="Y243" s="5"/>
      <c r="Z243" s="5"/>
      <c r="AA243" s="5"/>
      <c r="AB243" s="5"/>
      <c r="AC243" s="10" t="s">
        <v>603</v>
      </c>
      <c r="AD243" s="10"/>
      <c r="AE243" s="10"/>
      <c r="AF243" s="10"/>
      <c r="AG243" s="10"/>
      <c r="AH243" s="10"/>
      <c r="AI243" s="10" t="s">
        <v>604</v>
      </c>
      <c r="AJ243" s="5" t="s">
        <v>2155</v>
      </c>
      <c r="AK243" s="5"/>
      <c r="AL243" s="5"/>
      <c r="AM243" t="s">
        <v>2156</v>
      </c>
      <c r="AN243" t="s">
        <v>84</v>
      </c>
    </row>
    <row r="244" spans="1:40" ht="15" customHeight="1">
      <c r="A244" t="s">
        <v>2157</v>
      </c>
      <c r="B244" t="s">
        <v>2158</v>
      </c>
      <c r="C244" s="3">
        <v>45888</v>
      </c>
      <c r="D244" s="3">
        <v>45890</v>
      </c>
      <c r="E244" t="s">
        <v>41</v>
      </c>
      <c r="G244" t="s">
        <v>2159</v>
      </c>
      <c r="H244" t="s">
        <v>2069</v>
      </c>
      <c r="I244" t="s">
        <v>243</v>
      </c>
      <c r="J244" t="s">
        <v>252</v>
      </c>
      <c r="K244" t="s">
        <v>621</v>
      </c>
      <c r="M244" t="s">
        <v>43</v>
      </c>
      <c r="N244" t="s">
        <v>599</v>
      </c>
      <c r="O244" t="s">
        <v>551</v>
      </c>
      <c r="R244" t="s">
        <v>262</v>
      </c>
      <c r="S244" t="s">
        <v>2160</v>
      </c>
      <c r="T244" t="s">
        <v>2161</v>
      </c>
      <c r="U244" s="5" t="s">
        <v>2162</v>
      </c>
      <c r="V244" s="5" t="s">
        <v>2163</v>
      </c>
      <c r="W244" s="5"/>
      <c r="X244" s="5"/>
      <c r="Y244" s="5"/>
      <c r="Z244" s="5"/>
      <c r="AA244" s="5"/>
      <c r="AB244" s="5"/>
      <c r="AC244" s="10" t="s">
        <v>603</v>
      </c>
      <c r="AD244" s="10"/>
      <c r="AE244" s="10"/>
      <c r="AF244" s="10"/>
      <c r="AG244" s="10"/>
      <c r="AH244" s="10"/>
      <c r="AI244" s="10" t="s">
        <v>604</v>
      </c>
      <c r="AJ244" s="5" t="s">
        <v>2164</v>
      </c>
      <c r="AK244" s="5"/>
      <c r="AL244" s="5"/>
      <c r="AM244" t="s">
        <v>2165</v>
      </c>
      <c r="AN244" t="s">
        <v>84</v>
      </c>
    </row>
    <row r="245" spans="1:40" ht="15" customHeight="1">
      <c r="A245" t="s">
        <v>2166</v>
      </c>
      <c r="B245" t="s">
        <v>2167</v>
      </c>
      <c r="C245" s="3">
        <v>45888</v>
      </c>
      <c r="D245" s="3">
        <v>45889</v>
      </c>
      <c r="E245" t="s">
        <v>41</v>
      </c>
      <c r="G245" t="s">
        <v>2168</v>
      </c>
      <c r="H245" t="s">
        <v>904</v>
      </c>
      <c r="I245" t="s">
        <v>65</v>
      </c>
      <c r="J245" t="s">
        <v>65</v>
      </c>
      <c r="K245" t="s">
        <v>65</v>
      </c>
      <c r="M245" t="s">
        <v>43</v>
      </c>
      <c r="N245" t="s">
        <v>599</v>
      </c>
      <c r="O245" t="s">
        <v>551</v>
      </c>
      <c r="R245" t="s">
        <v>2169</v>
      </c>
      <c r="S245" t="s">
        <v>2170</v>
      </c>
      <c r="T245" t="s">
        <v>2171</v>
      </c>
      <c r="U245" s="5" t="s">
        <v>2172</v>
      </c>
      <c r="V245" s="5" t="s">
        <v>2173</v>
      </c>
      <c r="W245" s="5"/>
      <c r="X245" s="5"/>
      <c r="Y245" s="5"/>
      <c r="Z245" s="5"/>
      <c r="AA245" s="5"/>
      <c r="AB245" s="5"/>
      <c r="AC245" s="10" t="s">
        <v>603</v>
      </c>
      <c r="AD245" s="10"/>
      <c r="AE245" s="10"/>
      <c r="AF245" s="10"/>
      <c r="AG245" s="10"/>
      <c r="AH245" s="10"/>
      <c r="AI245" s="10" t="s">
        <v>604</v>
      </c>
      <c r="AJ245" s="5" t="s">
        <v>692</v>
      </c>
      <c r="AK245" s="5"/>
      <c r="AL245" s="5"/>
      <c r="AM245" t="s">
        <v>2174</v>
      </c>
      <c r="AN245" t="s">
        <v>84</v>
      </c>
    </row>
    <row r="246" spans="1:40" ht="15" customHeight="1">
      <c r="A246" t="s">
        <v>2175</v>
      </c>
      <c r="B246" t="s">
        <v>2176</v>
      </c>
      <c r="C246" s="3">
        <v>45889</v>
      </c>
      <c r="D246" s="3">
        <v>45891</v>
      </c>
      <c r="E246" t="s">
        <v>41</v>
      </c>
      <c r="G246" t="s">
        <v>2177</v>
      </c>
      <c r="H246" t="s">
        <v>1013</v>
      </c>
      <c r="I246" t="s">
        <v>668</v>
      </c>
      <c r="J246" t="s">
        <v>1795</v>
      </c>
      <c r="K246" t="s">
        <v>2150</v>
      </c>
      <c r="M246" t="s">
        <v>43</v>
      </c>
      <c r="N246" t="s">
        <v>632</v>
      </c>
      <c r="O246" t="s">
        <v>670</v>
      </c>
      <c r="R246" t="s">
        <v>235</v>
      </c>
      <c r="S246" t="s">
        <v>2178</v>
      </c>
      <c r="T246" t="s">
        <v>2179</v>
      </c>
      <c r="U246" s="5" t="s">
        <v>2180</v>
      </c>
      <c r="V246" s="5" t="s">
        <v>2181</v>
      </c>
      <c r="W246" s="5"/>
      <c r="X246" s="5"/>
      <c r="Y246" s="5"/>
      <c r="Z246" s="5"/>
      <c r="AA246" s="5"/>
      <c r="AB246" s="5"/>
      <c r="AC246" s="10" t="s">
        <v>603</v>
      </c>
      <c r="AD246" s="10"/>
      <c r="AE246" s="10"/>
      <c r="AF246" s="10"/>
      <c r="AG246" s="10"/>
      <c r="AH246" s="10"/>
      <c r="AI246" s="10" t="s">
        <v>604</v>
      </c>
      <c r="AJ246" s="5" t="s">
        <v>2182</v>
      </c>
      <c r="AK246" s="5"/>
      <c r="AL246" s="5"/>
      <c r="AM246" t="s">
        <v>2183</v>
      </c>
      <c r="AN246" t="s">
        <v>84</v>
      </c>
    </row>
    <row r="247" spans="1:40" ht="15" customHeight="1">
      <c r="A247" t="s">
        <v>2184</v>
      </c>
      <c r="B247" t="s">
        <v>2185</v>
      </c>
      <c r="C247" s="3">
        <v>45891</v>
      </c>
      <c r="D247" s="3">
        <v>45897</v>
      </c>
      <c r="E247" t="s">
        <v>47</v>
      </c>
      <c r="G247" t="s">
        <v>2186</v>
      </c>
      <c r="H247" t="s">
        <v>1648</v>
      </c>
      <c r="I247" t="s">
        <v>449</v>
      </c>
      <c r="J247" t="s">
        <v>2187</v>
      </c>
      <c r="K247" t="s">
        <v>636</v>
      </c>
      <c r="M247" t="s">
        <v>43</v>
      </c>
      <c r="N247" t="s">
        <v>632</v>
      </c>
      <c r="O247" t="s">
        <v>982</v>
      </c>
      <c r="R247" t="s">
        <v>320</v>
      </c>
      <c r="S247" t="s">
        <v>2188</v>
      </c>
      <c r="T247" t="s">
        <v>2189</v>
      </c>
      <c r="U247" s="5" t="s">
        <v>2190</v>
      </c>
      <c r="V247" s="5" t="s">
        <v>2191</v>
      </c>
      <c r="W247" s="5"/>
      <c r="X247" s="5"/>
      <c r="Y247" s="5"/>
      <c r="Z247" s="5"/>
      <c r="AA247" s="5"/>
      <c r="AB247" s="5"/>
      <c r="AC247" s="10" t="s">
        <v>603</v>
      </c>
      <c r="AD247" s="10"/>
      <c r="AE247" s="10"/>
      <c r="AF247" s="10"/>
      <c r="AG247" s="10"/>
      <c r="AH247" s="10"/>
      <c r="AI247" s="10" t="s">
        <v>604</v>
      </c>
      <c r="AJ247" s="5" t="s">
        <v>2192</v>
      </c>
      <c r="AK247" s="5"/>
      <c r="AL247" s="5"/>
      <c r="AM247" t="s">
        <v>2193</v>
      </c>
      <c r="AN247" t="s">
        <v>1176</v>
      </c>
    </row>
    <row r="248" spans="1:40" ht="15" customHeight="1">
      <c r="A248" t="s">
        <v>2194</v>
      </c>
      <c r="B248" t="s">
        <v>2195</v>
      </c>
      <c r="C248" s="3">
        <v>45891</v>
      </c>
      <c r="D248" s="3">
        <v>45909</v>
      </c>
      <c r="E248" t="s">
        <v>1189</v>
      </c>
      <c r="G248" t="s">
        <v>2196</v>
      </c>
      <c r="H248" t="s">
        <v>904</v>
      </c>
      <c r="I248" t="s">
        <v>65</v>
      </c>
      <c r="J248" t="s">
        <v>65</v>
      </c>
      <c r="K248" t="s">
        <v>2197</v>
      </c>
      <c r="M248" t="s">
        <v>43</v>
      </c>
      <c r="N248" t="s">
        <v>599</v>
      </c>
      <c r="O248" t="s">
        <v>982</v>
      </c>
      <c r="R248" t="s">
        <v>1333</v>
      </c>
      <c r="S248" t="s">
        <v>2198</v>
      </c>
      <c r="T248" t="s">
        <v>2199</v>
      </c>
      <c r="U248" s="5" t="s">
        <v>2200</v>
      </c>
      <c r="V248" s="5" t="s">
        <v>2201</v>
      </c>
      <c r="W248" s="5"/>
      <c r="X248" s="5"/>
      <c r="Y248" s="5"/>
      <c r="Z248" s="5"/>
      <c r="AA248" s="5"/>
      <c r="AB248" s="5"/>
      <c r="AC248" s="10" t="s">
        <v>603</v>
      </c>
      <c r="AD248" s="10"/>
      <c r="AE248" s="10"/>
      <c r="AF248" s="10"/>
      <c r="AG248" s="10"/>
      <c r="AH248" s="10"/>
      <c r="AI248" s="10" t="s">
        <v>604</v>
      </c>
      <c r="AJ248" s="5" t="s">
        <v>2202</v>
      </c>
      <c r="AK248" s="5"/>
      <c r="AL248" s="5"/>
      <c r="AM248" t="s">
        <v>2203</v>
      </c>
      <c r="AN248" t="s">
        <v>84</v>
      </c>
    </row>
    <row r="249" spans="1:40" ht="15" customHeight="1">
      <c r="A249" t="s">
        <v>2204</v>
      </c>
      <c r="B249" t="s">
        <v>2205</v>
      </c>
      <c r="C249" s="3">
        <v>45894</v>
      </c>
      <c r="D249" s="3">
        <v>45894</v>
      </c>
      <c r="E249" t="s">
        <v>47</v>
      </c>
      <c r="G249" t="s">
        <v>2206</v>
      </c>
      <c r="H249" t="s">
        <v>1354</v>
      </c>
      <c r="I249" t="s">
        <v>125</v>
      </c>
      <c r="J249" t="s">
        <v>252</v>
      </c>
      <c r="K249" t="s">
        <v>496</v>
      </c>
      <c r="M249" t="s">
        <v>43</v>
      </c>
      <c r="N249" t="s">
        <v>609</v>
      </c>
      <c r="O249" t="s">
        <v>2207</v>
      </c>
      <c r="R249" t="s">
        <v>127</v>
      </c>
      <c r="S249" t="s">
        <v>2208</v>
      </c>
      <c r="T249" t="s">
        <v>2209</v>
      </c>
      <c r="U249" s="5" t="s">
        <v>2210</v>
      </c>
      <c r="V249" s="5" t="s">
        <v>2211</v>
      </c>
      <c r="W249" s="5"/>
      <c r="X249" s="5"/>
      <c r="Y249" s="5"/>
      <c r="Z249" s="5"/>
      <c r="AA249" s="5"/>
      <c r="AB249" s="5"/>
      <c r="AC249" s="10" t="s">
        <v>603</v>
      </c>
      <c r="AD249" s="10"/>
      <c r="AE249" s="10"/>
      <c r="AF249" s="10"/>
      <c r="AG249" s="10"/>
      <c r="AH249" s="10"/>
      <c r="AI249" s="10" t="s">
        <v>604</v>
      </c>
      <c r="AJ249" s="5" t="s">
        <v>2212</v>
      </c>
      <c r="AK249" s="5"/>
      <c r="AL249" s="5"/>
      <c r="AM249" t="s">
        <v>2213</v>
      </c>
      <c r="AN249" t="s">
        <v>74</v>
      </c>
    </row>
    <row r="250" spans="1:40" ht="15" customHeight="1">
      <c r="A250" t="s">
        <v>2214</v>
      </c>
      <c r="B250" t="s">
        <v>2215</v>
      </c>
      <c r="C250" s="3">
        <v>45894</v>
      </c>
      <c r="D250" s="3">
        <v>45894</v>
      </c>
      <c r="E250" t="s">
        <v>47</v>
      </c>
      <c r="G250" t="s">
        <v>2216</v>
      </c>
      <c r="H250" t="s">
        <v>1078</v>
      </c>
      <c r="I250" t="s">
        <v>1408</v>
      </c>
      <c r="J250" t="s">
        <v>1683</v>
      </c>
      <c r="K250" t="s">
        <v>2217</v>
      </c>
      <c r="M250" t="s">
        <v>43</v>
      </c>
      <c r="N250" t="s">
        <v>609</v>
      </c>
      <c r="O250" t="s">
        <v>2218</v>
      </c>
      <c r="R250" t="s">
        <v>320</v>
      </c>
      <c r="S250" t="s">
        <v>2219</v>
      </c>
      <c r="T250" t="s">
        <v>2220</v>
      </c>
      <c r="U250" s="5" t="s">
        <v>2221</v>
      </c>
      <c r="V250" s="5" t="s">
        <v>2222</v>
      </c>
      <c r="W250" s="5"/>
      <c r="X250" s="5"/>
      <c r="Y250" s="5"/>
      <c r="Z250" s="5"/>
      <c r="AA250" s="5"/>
      <c r="AB250" s="5"/>
      <c r="AC250" s="10" t="s">
        <v>603</v>
      </c>
      <c r="AD250" s="10"/>
      <c r="AE250" s="10"/>
      <c r="AF250" s="10"/>
      <c r="AG250" s="10"/>
      <c r="AH250" s="10"/>
      <c r="AI250" s="10" t="s">
        <v>604</v>
      </c>
      <c r="AJ250" s="5" t="s">
        <v>2223</v>
      </c>
      <c r="AK250" s="5"/>
      <c r="AL250" s="5"/>
      <c r="AM250" t="s">
        <v>2224</v>
      </c>
      <c r="AN250" t="s">
        <v>74</v>
      </c>
    </row>
    <row r="251" spans="1:40" ht="15" customHeight="1">
      <c r="A251" t="s">
        <v>2225</v>
      </c>
      <c r="B251" t="s">
        <v>2226</v>
      </c>
      <c r="C251" s="3">
        <v>45894</v>
      </c>
      <c r="D251" s="3">
        <v>45894</v>
      </c>
      <c r="E251" t="s">
        <v>47</v>
      </c>
      <c r="G251" t="s">
        <v>2227</v>
      </c>
      <c r="H251" t="s">
        <v>850</v>
      </c>
      <c r="I251" t="s">
        <v>48</v>
      </c>
      <c r="J251" t="s">
        <v>1711</v>
      </c>
      <c r="K251" t="s">
        <v>48</v>
      </c>
      <c r="M251" t="s">
        <v>43</v>
      </c>
      <c r="N251" t="s">
        <v>599</v>
      </c>
      <c r="O251" t="s">
        <v>571</v>
      </c>
      <c r="R251" t="s">
        <v>2228</v>
      </c>
      <c r="S251" t="s">
        <v>2229</v>
      </c>
      <c r="T251" t="s">
        <v>2230</v>
      </c>
      <c r="U251" s="5" t="s">
        <v>2231</v>
      </c>
      <c r="V251" s="5" t="s">
        <v>2232</v>
      </c>
      <c r="W251" s="5"/>
      <c r="X251" s="5"/>
      <c r="Y251" s="5"/>
      <c r="Z251" s="5"/>
      <c r="AA251" s="5"/>
      <c r="AB251" s="5"/>
      <c r="AC251" s="10" t="s">
        <v>603</v>
      </c>
      <c r="AD251" s="10"/>
      <c r="AE251" s="10"/>
      <c r="AF251" s="10"/>
      <c r="AG251" s="10"/>
      <c r="AH251" s="10"/>
      <c r="AI251" s="10" t="s">
        <v>604</v>
      </c>
      <c r="AJ251" s="5" t="s">
        <v>1927</v>
      </c>
      <c r="AK251" s="5"/>
      <c r="AL251" s="5"/>
      <c r="AM251" t="s">
        <v>2233</v>
      </c>
      <c r="AN251" t="s">
        <v>1176</v>
      </c>
    </row>
    <row r="252" spans="1:40" ht="15" customHeight="1">
      <c r="A252" t="s">
        <v>2234</v>
      </c>
      <c r="B252" t="s">
        <v>2235</v>
      </c>
      <c r="C252" s="3">
        <v>45895</v>
      </c>
      <c r="D252" s="3">
        <v>45895</v>
      </c>
      <c r="E252" t="s">
        <v>47</v>
      </c>
      <c r="G252" t="s">
        <v>2236</v>
      </c>
      <c r="H252" t="s">
        <v>787</v>
      </c>
      <c r="I252" t="s">
        <v>252</v>
      </c>
      <c r="J252" t="s">
        <v>252</v>
      </c>
      <c r="K252" t="s">
        <v>243</v>
      </c>
      <c r="M252" t="s">
        <v>43</v>
      </c>
      <c r="N252" t="s">
        <v>599</v>
      </c>
      <c r="O252" t="s">
        <v>2237</v>
      </c>
      <c r="R252" t="s">
        <v>320</v>
      </c>
      <c r="S252" t="s">
        <v>2160</v>
      </c>
      <c r="T252" t="s">
        <v>2238</v>
      </c>
      <c r="U252" s="5" t="s">
        <v>2239</v>
      </c>
      <c r="V252" s="5" t="s">
        <v>2240</v>
      </c>
      <c r="W252" s="5"/>
      <c r="X252" s="5"/>
      <c r="Y252" s="5"/>
      <c r="Z252" s="5"/>
      <c r="AA252" s="5"/>
      <c r="AB252" s="5"/>
      <c r="AC252" s="10" t="s">
        <v>603</v>
      </c>
      <c r="AD252" s="10"/>
      <c r="AE252" s="10"/>
      <c r="AF252" s="10"/>
      <c r="AG252" s="10"/>
      <c r="AH252" s="10"/>
      <c r="AI252" s="10" t="s">
        <v>604</v>
      </c>
      <c r="AJ252" s="5" t="s">
        <v>2164</v>
      </c>
      <c r="AK252" s="5"/>
      <c r="AL252" s="5"/>
      <c r="AM252" t="s">
        <v>2165</v>
      </c>
      <c r="AN252" t="s">
        <v>1176</v>
      </c>
    </row>
    <row r="253" spans="1:40" ht="15" customHeight="1">
      <c r="A253" t="s">
        <v>2241</v>
      </c>
      <c r="B253" t="s">
        <v>2242</v>
      </c>
      <c r="C253" s="3">
        <v>45897</v>
      </c>
      <c r="D253" s="3">
        <v>45901</v>
      </c>
      <c r="E253" t="s">
        <v>41</v>
      </c>
      <c r="G253" t="s">
        <v>2243</v>
      </c>
      <c r="H253" t="s">
        <v>744</v>
      </c>
      <c r="I253" t="s">
        <v>2244</v>
      </c>
      <c r="J253" t="s">
        <v>352</v>
      </c>
      <c r="K253" t="s">
        <v>746</v>
      </c>
      <c r="M253" t="s">
        <v>43</v>
      </c>
      <c r="N253" t="s">
        <v>609</v>
      </c>
      <c r="O253" t="s">
        <v>982</v>
      </c>
      <c r="R253" t="s">
        <v>191</v>
      </c>
      <c r="S253" t="s">
        <v>2245</v>
      </c>
      <c r="T253" t="s">
        <v>2246</v>
      </c>
      <c r="U253" s="5" t="s">
        <v>2247</v>
      </c>
      <c r="V253" s="5" t="s">
        <v>2248</v>
      </c>
      <c r="W253" s="5"/>
      <c r="X253" s="5"/>
      <c r="Y253" s="5"/>
      <c r="Z253" s="5"/>
      <c r="AA253" s="5"/>
      <c r="AB253" s="5"/>
      <c r="AC253" s="10" t="s">
        <v>603</v>
      </c>
      <c r="AD253" s="10"/>
      <c r="AE253" s="10"/>
      <c r="AF253" s="10"/>
      <c r="AG253" s="10"/>
      <c r="AH253" s="10"/>
      <c r="AI253" s="10" t="s">
        <v>604</v>
      </c>
      <c r="AJ253" s="5" t="s">
        <v>1236</v>
      </c>
      <c r="AK253" s="5"/>
      <c r="AL253" s="5"/>
      <c r="AM253" t="s">
        <v>2249</v>
      </c>
      <c r="AN253" t="s">
        <v>84</v>
      </c>
    </row>
    <row r="254" spans="1:40" ht="15" customHeight="1">
      <c r="A254" t="s">
        <v>2250</v>
      </c>
      <c r="B254" t="s">
        <v>2251</v>
      </c>
      <c r="C254" s="3">
        <v>45897</v>
      </c>
      <c r="D254" s="3">
        <v>45901</v>
      </c>
      <c r="E254" t="s">
        <v>47</v>
      </c>
      <c r="G254" t="s">
        <v>2252</v>
      </c>
      <c r="H254" t="s">
        <v>1078</v>
      </c>
      <c r="I254" t="s">
        <v>1408</v>
      </c>
      <c r="J254" t="s">
        <v>1683</v>
      </c>
      <c r="K254" t="s">
        <v>2253</v>
      </c>
      <c r="M254" t="s">
        <v>43</v>
      </c>
      <c r="N254" t="s">
        <v>609</v>
      </c>
      <c r="O254" t="s">
        <v>982</v>
      </c>
      <c r="R254" t="s">
        <v>2254</v>
      </c>
      <c r="S254" t="s">
        <v>2255</v>
      </c>
      <c r="T254" t="s">
        <v>2256</v>
      </c>
      <c r="U254" s="5" t="s">
        <v>2257</v>
      </c>
      <c r="V254" s="5" t="s">
        <v>2258</v>
      </c>
      <c r="W254" s="5"/>
      <c r="X254" s="5"/>
      <c r="Y254" s="5"/>
      <c r="Z254" s="5"/>
      <c r="AA254" s="5"/>
      <c r="AB254" s="5"/>
      <c r="AC254" s="10" t="s">
        <v>603</v>
      </c>
      <c r="AD254" s="10"/>
      <c r="AE254" s="10"/>
      <c r="AF254" s="10"/>
      <c r="AG254" s="10"/>
      <c r="AH254" s="10"/>
      <c r="AI254" s="10" t="s">
        <v>604</v>
      </c>
      <c r="AJ254" s="5" t="s">
        <v>2259</v>
      </c>
      <c r="AK254" s="5"/>
      <c r="AL254" s="5"/>
      <c r="AM254" t="s">
        <v>2260</v>
      </c>
      <c r="AN254" t="s">
        <v>84</v>
      </c>
    </row>
    <row r="255" spans="1:40" ht="15" customHeight="1">
      <c r="A255" t="s">
        <v>2261</v>
      </c>
      <c r="B255" t="s">
        <v>2262</v>
      </c>
      <c r="C255" s="3">
        <v>45898</v>
      </c>
      <c r="D255" s="3">
        <v>45919</v>
      </c>
      <c r="E255" t="s">
        <v>41</v>
      </c>
      <c r="G255" t="s">
        <v>2263</v>
      </c>
      <c r="H255" t="s">
        <v>779</v>
      </c>
      <c r="I255" t="s">
        <v>109</v>
      </c>
      <c r="J255" t="s">
        <v>1711</v>
      </c>
      <c r="K255" t="s">
        <v>109</v>
      </c>
      <c r="M255" t="s">
        <v>43</v>
      </c>
      <c r="N255" t="s">
        <v>599</v>
      </c>
      <c r="O255" t="s">
        <v>571</v>
      </c>
      <c r="R255" t="s">
        <v>852</v>
      </c>
      <c r="S255" t="s">
        <v>2264</v>
      </c>
      <c r="T255" t="s">
        <v>2265</v>
      </c>
      <c r="U255" s="5" t="s">
        <v>2266</v>
      </c>
      <c r="V255" s="5" t="s">
        <v>2267</v>
      </c>
      <c r="W255" s="5"/>
      <c r="X255" s="5"/>
      <c r="Y255" s="5"/>
      <c r="Z255" s="5"/>
      <c r="AA255" s="5"/>
      <c r="AB255" s="5"/>
      <c r="AC255" s="10" t="s">
        <v>603</v>
      </c>
      <c r="AD255" s="10"/>
      <c r="AE255" s="10"/>
      <c r="AF255" s="10"/>
      <c r="AG255" s="10"/>
      <c r="AH255" s="10"/>
      <c r="AI255" s="10" t="s">
        <v>604</v>
      </c>
      <c r="AJ255" s="5" t="s">
        <v>1918</v>
      </c>
      <c r="AK255" s="5"/>
      <c r="AL255" s="5"/>
      <c r="AM255" t="s">
        <v>2268</v>
      </c>
      <c r="AN255" t="s">
        <v>1176</v>
      </c>
    </row>
    <row r="256" spans="1:40" ht="15" customHeight="1">
      <c r="A256" t="s">
        <v>2269</v>
      </c>
      <c r="B256" t="s">
        <v>2270</v>
      </c>
      <c r="C256" s="3">
        <v>45898</v>
      </c>
      <c r="D256" s="3">
        <v>45915</v>
      </c>
      <c r="E256" t="s">
        <v>41</v>
      </c>
      <c r="G256" t="s">
        <v>2271</v>
      </c>
      <c r="H256" t="s">
        <v>850</v>
      </c>
      <c r="I256" t="s">
        <v>48</v>
      </c>
      <c r="J256" t="s">
        <v>1711</v>
      </c>
      <c r="K256" t="s">
        <v>181</v>
      </c>
      <c r="M256" t="s">
        <v>43</v>
      </c>
      <c r="N256" t="s">
        <v>599</v>
      </c>
      <c r="O256" t="s">
        <v>571</v>
      </c>
      <c r="R256" t="s">
        <v>780</v>
      </c>
      <c r="S256" t="s">
        <v>2272</v>
      </c>
      <c r="T256" t="s">
        <v>2273</v>
      </c>
      <c r="U256" s="5" t="s">
        <v>2274</v>
      </c>
      <c r="V256" s="5" t="s">
        <v>2275</v>
      </c>
      <c r="W256" s="5"/>
      <c r="X256" s="5"/>
      <c r="Y256" s="5"/>
      <c r="Z256" s="5"/>
      <c r="AA256" s="5"/>
      <c r="AB256" s="5"/>
      <c r="AC256" s="10" t="s">
        <v>603</v>
      </c>
      <c r="AD256" s="10"/>
      <c r="AE256" s="10"/>
      <c r="AF256" s="10"/>
      <c r="AG256" s="10"/>
      <c r="AH256" s="10"/>
      <c r="AI256" s="10" t="s">
        <v>604</v>
      </c>
      <c r="AJ256" s="5" t="s">
        <v>1927</v>
      </c>
      <c r="AK256" s="5"/>
      <c r="AL256" s="5"/>
      <c r="AM256" t="s">
        <v>2276</v>
      </c>
      <c r="AN256" t="s">
        <v>1176</v>
      </c>
    </row>
    <row r="257" spans="1:40" ht="15" customHeight="1">
      <c r="A257" t="s">
        <v>2277</v>
      </c>
      <c r="B257" t="s">
        <v>2278</v>
      </c>
      <c r="C257" s="3">
        <v>45901</v>
      </c>
      <c r="D257" s="3">
        <v>45909</v>
      </c>
      <c r="E257" t="s">
        <v>47</v>
      </c>
      <c r="G257" t="s">
        <v>2279</v>
      </c>
      <c r="H257" t="s">
        <v>850</v>
      </c>
      <c r="I257" t="s">
        <v>48</v>
      </c>
      <c r="J257" t="s">
        <v>1711</v>
      </c>
      <c r="K257" t="s">
        <v>48</v>
      </c>
      <c r="M257" t="s">
        <v>43</v>
      </c>
      <c r="N257" t="s">
        <v>599</v>
      </c>
      <c r="O257" t="s">
        <v>571</v>
      </c>
      <c r="R257" t="s">
        <v>52</v>
      </c>
      <c r="S257" t="s">
        <v>2280</v>
      </c>
      <c r="T257" t="s">
        <v>2281</v>
      </c>
      <c r="U257" s="5" t="s">
        <v>2282</v>
      </c>
      <c r="V257" s="5" t="s">
        <v>2283</v>
      </c>
      <c r="W257" s="5"/>
      <c r="X257" s="5"/>
      <c r="Y257" s="5"/>
      <c r="Z257" s="5"/>
      <c r="AA257" s="5"/>
      <c r="AB257" s="5"/>
      <c r="AC257" s="10" t="s">
        <v>603</v>
      </c>
      <c r="AD257" s="10"/>
      <c r="AE257" s="10"/>
      <c r="AF257" s="10"/>
      <c r="AG257" s="10"/>
      <c r="AH257" s="10"/>
      <c r="AI257" s="10" t="s">
        <v>604</v>
      </c>
      <c r="AJ257" s="5" t="s">
        <v>2284</v>
      </c>
      <c r="AK257" s="5"/>
      <c r="AL257" s="5"/>
      <c r="AM257" t="s">
        <v>2285</v>
      </c>
      <c r="AN257" t="s">
        <v>1176</v>
      </c>
    </row>
    <row r="258" spans="1:40" ht="15" customHeight="1">
      <c r="A258" t="s">
        <v>2286</v>
      </c>
      <c r="B258" t="s">
        <v>2287</v>
      </c>
      <c r="C258" s="3">
        <v>45901</v>
      </c>
      <c r="D258" s="3">
        <v>45909</v>
      </c>
      <c r="E258" t="s">
        <v>47</v>
      </c>
      <c r="G258" t="s">
        <v>2288</v>
      </c>
      <c r="H258" t="s">
        <v>1078</v>
      </c>
      <c r="I258" t="s">
        <v>1408</v>
      </c>
      <c r="J258" t="s">
        <v>1683</v>
      </c>
      <c r="K258" t="s">
        <v>2217</v>
      </c>
      <c r="M258" t="s">
        <v>43</v>
      </c>
      <c r="N258" t="s">
        <v>609</v>
      </c>
      <c r="O258" t="s">
        <v>982</v>
      </c>
      <c r="R258" t="s">
        <v>320</v>
      </c>
      <c r="S258" t="s">
        <v>2289</v>
      </c>
      <c r="T258" t="s">
        <v>2290</v>
      </c>
      <c r="U258" s="5" t="s">
        <v>2291</v>
      </c>
      <c r="V258" s="5" t="s">
        <v>2292</v>
      </c>
      <c r="W258" s="5"/>
      <c r="X258" s="5"/>
      <c r="Y258" s="5"/>
      <c r="Z258" s="5"/>
      <c r="AA258" s="5"/>
      <c r="AB258" s="5"/>
      <c r="AC258" s="10" t="s">
        <v>603</v>
      </c>
      <c r="AD258" s="10"/>
      <c r="AE258" s="10"/>
      <c r="AF258" s="10"/>
      <c r="AG258" s="10"/>
      <c r="AH258" s="10"/>
      <c r="AI258" s="10" t="s">
        <v>604</v>
      </c>
      <c r="AJ258" s="5" t="s">
        <v>2293</v>
      </c>
      <c r="AK258" s="5"/>
      <c r="AL258" s="5"/>
      <c r="AM258" t="s">
        <v>2294</v>
      </c>
      <c r="AN258" t="s">
        <v>84</v>
      </c>
    </row>
    <row r="259" spans="1:40" ht="15" customHeight="1">
      <c r="A259" t="s">
        <v>2295</v>
      </c>
      <c r="B259" t="s">
        <v>2296</v>
      </c>
      <c r="C259" s="3">
        <v>45901</v>
      </c>
      <c r="D259" s="3">
        <v>45909</v>
      </c>
      <c r="E259" t="s">
        <v>47</v>
      </c>
      <c r="G259" t="s">
        <v>2297</v>
      </c>
      <c r="H259" t="s">
        <v>914</v>
      </c>
      <c r="I259" t="s">
        <v>2298</v>
      </c>
      <c r="J259" t="s">
        <v>1711</v>
      </c>
      <c r="K259" t="s">
        <v>1700</v>
      </c>
      <c r="M259" t="s">
        <v>43</v>
      </c>
      <c r="N259" t="s">
        <v>599</v>
      </c>
      <c r="O259" t="s">
        <v>571</v>
      </c>
      <c r="R259" t="s">
        <v>52</v>
      </c>
      <c r="S259" t="s">
        <v>2299</v>
      </c>
      <c r="T259" t="s">
        <v>2300</v>
      </c>
      <c r="U259" s="5" t="s">
        <v>2301</v>
      </c>
      <c r="V259" s="5" t="s">
        <v>2302</v>
      </c>
      <c r="W259" s="5"/>
      <c r="X259" s="5"/>
      <c r="Y259" s="5"/>
      <c r="Z259" s="5"/>
      <c r="AA259" s="5"/>
      <c r="AB259" s="5"/>
      <c r="AC259" s="10" t="s">
        <v>603</v>
      </c>
      <c r="AD259" s="10"/>
      <c r="AE259" s="10"/>
      <c r="AF259" s="10"/>
      <c r="AG259" s="10"/>
      <c r="AH259" s="10"/>
      <c r="AI259" s="10" t="s">
        <v>604</v>
      </c>
      <c r="AJ259" s="5" t="s">
        <v>2303</v>
      </c>
      <c r="AK259" s="5"/>
      <c r="AL259" s="5"/>
      <c r="AM259" t="s">
        <v>2304</v>
      </c>
      <c r="AN259" t="s">
        <v>1176</v>
      </c>
    </row>
    <row r="260" spans="1:40" ht="15" customHeight="1">
      <c r="A260" t="s">
        <v>2305</v>
      </c>
      <c r="B260" t="s">
        <v>2306</v>
      </c>
      <c r="C260" s="3">
        <v>45902</v>
      </c>
      <c r="D260" s="3">
        <v>45903</v>
      </c>
      <c r="E260" t="s">
        <v>457</v>
      </c>
      <c r="G260" t="s">
        <v>2307</v>
      </c>
      <c r="H260" t="s">
        <v>850</v>
      </c>
      <c r="I260" t="s">
        <v>48</v>
      </c>
      <c r="J260" t="s">
        <v>1711</v>
      </c>
      <c r="K260" t="s">
        <v>48</v>
      </c>
      <c r="M260" t="s">
        <v>43</v>
      </c>
      <c r="N260" t="s">
        <v>599</v>
      </c>
      <c r="O260" t="s">
        <v>571</v>
      </c>
      <c r="R260" t="s">
        <v>55</v>
      </c>
      <c r="S260" t="s">
        <v>2308</v>
      </c>
      <c r="T260" t="s">
        <v>2309</v>
      </c>
      <c r="U260" s="5" t="s">
        <v>2310</v>
      </c>
      <c r="V260" s="5" t="s">
        <v>2311</v>
      </c>
      <c r="W260" s="5"/>
      <c r="X260" s="5"/>
      <c r="Y260" s="5"/>
      <c r="Z260" s="5"/>
      <c r="AA260" s="5"/>
      <c r="AB260" s="5"/>
      <c r="AC260" s="10" t="s">
        <v>603</v>
      </c>
      <c r="AD260" s="10"/>
      <c r="AE260" s="10"/>
      <c r="AF260" s="10"/>
      <c r="AG260" s="10"/>
      <c r="AH260" s="10"/>
      <c r="AI260" s="10" t="s">
        <v>604</v>
      </c>
      <c r="AJ260" s="5" t="s">
        <v>1993</v>
      </c>
      <c r="AK260" s="5"/>
      <c r="AL260" s="5"/>
      <c r="AM260" t="s">
        <v>2013</v>
      </c>
      <c r="AN260" t="s">
        <v>1176</v>
      </c>
    </row>
    <row r="261" spans="1:40" ht="15" customHeight="1">
      <c r="A261" t="s">
        <v>2312</v>
      </c>
      <c r="B261" t="s">
        <v>2313</v>
      </c>
      <c r="C261" s="3">
        <v>45903</v>
      </c>
      <c r="D261" s="3">
        <v>45903</v>
      </c>
      <c r="E261" t="s">
        <v>41</v>
      </c>
      <c r="G261" t="s">
        <v>2314</v>
      </c>
      <c r="H261" t="s">
        <v>904</v>
      </c>
      <c r="I261" t="s">
        <v>65</v>
      </c>
      <c r="J261" t="s">
        <v>2187</v>
      </c>
      <c r="K261" t="s">
        <v>65</v>
      </c>
      <c r="M261" t="s">
        <v>43</v>
      </c>
      <c r="N261" t="s">
        <v>599</v>
      </c>
      <c r="O261" t="s">
        <v>1221</v>
      </c>
      <c r="R261" t="s">
        <v>270</v>
      </c>
      <c r="S261" t="s">
        <v>2315</v>
      </c>
      <c r="T261" t="s">
        <v>2316</v>
      </c>
      <c r="U261" s="5" t="s">
        <v>2317</v>
      </c>
      <c r="V261" s="5" t="s">
        <v>2318</v>
      </c>
      <c r="W261" s="5"/>
      <c r="X261" s="5"/>
      <c r="Y261" s="5"/>
      <c r="Z261" s="5"/>
      <c r="AA261" s="5"/>
      <c r="AB261" s="5"/>
      <c r="AC261" s="10" t="s">
        <v>603</v>
      </c>
      <c r="AD261" s="10"/>
      <c r="AE261" s="10"/>
      <c r="AF261" s="10"/>
      <c r="AG261" s="10"/>
      <c r="AH261" s="10"/>
      <c r="AI261" s="10" t="s">
        <v>604</v>
      </c>
      <c r="AJ261" s="5" t="s">
        <v>2319</v>
      </c>
      <c r="AK261" s="5"/>
      <c r="AL261" s="5"/>
      <c r="AM261" t="s">
        <v>2320</v>
      </c>
      <c r="AN261" t="s">
        <v>1176</v>
      </c>
    </row>
    <row r="262" spans="1:40" ht="15" customHeight="1">
      <c r="A262" t="s">
        <v>2321</v>
      </c>
      <c r="B262" t="s">
        <v>2322</v>
      </c>
      <c r="C262" s="3">
        <v>45903</v>
      </c>
      <c r="D262" s="3">
        <v>45903</v>
      </c>
      <c r="E262" t="s">
        <v>47</v>
      </c>
      <c r="G262" t="s">
        <v>2323</v>
      </c>
      <c r="H262" t="s">
        <v>787</v>
      </c>
      <c r="I262" t="s">
        <v>252</v>
      </c>
      <c r="J262" t="s">
        <v>252</v>
      </c>
      <c r="K262" t="s">
        <v>243</v>
      </c>
      <c r="M262" t="s">
        <v>43</v>
      </c>
      <c r="N262" t="s">
        <v>599</v>
      </c>
      <c r="O262" t="s">
        <v>1221</v>
      </c>
      <c r="R262" t="s">
        <v>2324</v>
      </c>
      <c r="S262" t="s">
        <v>2325</v>
      </c>
      <c r="T262" t="s">
        <v>2326</v>
      </c>
      <c r="U262" s="5" t="s">
        <v>2327</v>
      </c>
      <c r="V262" s="5" t="s">
        <v>2328</v>
      </c>
      <c r="W262" s="5"/>
      <c r="X262" s="5"/>
      <c r="Y262" s="5"/>
      <c r="Z262" s="5"/>
      <c r="AA262" s="5"/>
      <c r="AB262" s="5"/>
      <c r="AC262" s="10" t="s">
        <v>603</v>
      </c>
      <c r="AD262" s="10"/>
      <c r="AE262" s="10"/>
      <c r="AF262" s="10"/>
      <c r="AG262" s="10"/>
      <c r="AH262" s="10"/>
      <c r="AI262" s="10" t="s">
        <v>604</v>
      </c>
      <c r="AJ262" s="5" t="s">
        <v>516</v>
      </c>
      <c r="AK262" s="5"/>
      <c r="AL262" s="5"/>
      <c r="AM262" t="s">
        <v>2329</v>
      </c>
      <c r="AN262" t="s">
        <v>1176</v>
      </c>
    </row>
    <row r="263" spans="1:40" ht="15" customHeight="1">
      <c r="A263" t="s">
        <v>2330</v>
      </c>
      <c r="B263" t="s">
        <v>2331</v>
      </c>
      <c r="C263" s="3">
        <v>45908</v>
      </c>
      <c r="D263" s="3">
        <v>45909</v>
      </c>
      <c r="E263" t="s">
        <v>41</v>
      </c>
      <c r="G263" t="s">
        <v>2332</v>
      </c>
      <c r="H263" t="s">
        <v>787</v>
      </c>
      <c r="I263" t="s">
        <v>252</v>
      </c>
      <c r="J263" t="s">
        <v>252</v>
      </c>
      <c r="K263" t="s">
        <v>243</v>
      </c>
      <c r="M263" t="s">
        <v>43</v>
      </c>
      <c r="N263" t="s">
        <v>599</v>
      </c>
      <c r="O263" t="s">
        <v>2333</v>
      </c>
      <c r="R263" t="s">
        <v>50</v>
      </c>
      <c r="S263" t="s">
        <v>2325</v>
      </c>
      <c r="T263" t="s">
        <v>2334</v>
      </c>
      <c r="U263" s="5" t="s">
        <v>2335</v>
      </c>
      <c r="V263" s="5" t="s">
        <v>2336</v>
      </c>
      <c r="W263" s="5"/>
      <c r="X263" s="5"/>
      <c r="Y263" s="5"/>
      <c r="Z263" s="5"/>
      <c r="AA263" s="5"/>
      <c r="AB263" s="5"/>
      <c r="AC263" s="10" t="s">
        <v>603</v>
      </c>
      <c r="AD263" s="10"/>
      <c r="AE263" s="10"/>
      <c r="AF263" s="10"/>
      <c r="AG263" s="10"/>
      <c r="AH263" s="10"/>
      <c r="AI263" s="10" t="s">
        <v>604</v>
      </c>
      <c r="AJ263" s="5" t="s">
        <v>516</v>
      </c>
      <c r="AK263" s="5"/>
      <c r="AL263" s="5"/>
      <c r="AM263" t="s">
        <v>2337</v>
      </c>
      <c r="AN263" t="s">
        <v>1176</v>
      </c>
    </row>
    <row r="264" spans="1:40" ht="15" customHeight="1">
      <c r="A264" t="s">
        <v>2338</v>
      </c>
      <c r="B264" t="s">
        <v>2339</v>
      </c>
      <c r="C264" s="3">
        <v>45909</v>
      </c>
      <c r="D264" s="3">
        <v>45922</v>
      </c>
      <c r="E264" t="s">
        <v>41</v>
      </c>
      <c r="G264" t="s">
        <v>2340</v>
      </c>
      <c r="H264" t="s">
        <v>904</v>
      </c>
      <c r="I264" t="s">
        <v>65</v>
      </c>
      <c r="J264" t="s">
        <v>65</v>
      </c>
      <c r="K264" t="s">
        <v>65</v>
      </c>
      <c r="M264" t="s">
        <v>43</v>
      </c>
      <c r="N264" t="s">
        <v>599</v>
      </c>
      <c r="O264" t="s">
        <v>551</v>
      </c>
      <c r="R264" t="s">
        <v>2341</v>
      </c>
      <c r="S264" t="s">
        <v>2342</v>
      </c>
      <c r="T264" t="s">
        <v>2343</v>
      </c>
      <c r="U264" s="5" t="s">
        <v>2344</v>
      </c>
      <c r="V264" s="5" t="s">
        <v>2345</v>
      </c>
      <c r="W264" s="5"/>
      <c r="X264" s="5"/>
      <c r="Y264" s="5"/>
      <c r="Z264" s="5"/>
      <c r="AA264" s="5"/>
      <c r="AB264" s="5"/>
      <c r="AC264" s="10" t="s">
        <v>603</v>
      </c>
      <c r="AD264" s="10"/>
      <c r="AE264" s="10"/>
      <c r="AF264" s="10"/>
      <c r="AG264" s="10"/>
      <c r="AH264" s="10"/>
      <c r="AI264" s="10" t="s">
        <v>604</v>
      </c>
      <c r="AJ264" s="5" t="s">
        <v>692</v>
      </c>
      <c r="AK264" s="5"/>
      <c r="AL264" s="5"/>
      <c r="AM264" t="s">
        <v>2346</v>
      </c>
      <c r="AN264" t="s">
        <v>84</v>
      </c>
    </row>
    <row r="265" spans="1:40" ht="15" customHeight="1">
      <c r="A265" t="s">
        <v>2347</v>
      </c>
      <c r="B265" t="s">
        <v>2348</v>
      </c>
      <c r="C265" s="3">
        <v>45909</v>
      </c>
      <c r="D265" s="3">
        <v>45909</v>
      </c>
      <c r="E265" t="s">
        <v>41</v>
      </c>
      <c r="G265" t="s">
        <v>2349</v>
      </c>
      <c r="H265" t="s">
        <v>850</v>
      </c>
      <c r="I265" t="s">
        <v>48</v>
      </c>
      <c r="J265" t="s">
        <v>1711</v>
      </c>
      <c r="K265" t="s">
        <v>48</v>
      </c>
      <c r="M265" t="s">
        <v>43</v>
      </c>
      <c r="N265" t="s">
        <v>599</v>
      </c>
      <c r="O265" t="s">
        <v>571</v>
      </c>
      <c r="R265" t="s">
        <v>780</v>
      </c>
      <c r="S265" t="s">
        <v>2350</v>
      </c>
      <c r="T265" t="s">
        <v>2351</v>
      </c>
      <c r="U265" s="5" t="s">
        <v>2352</v>
      </c>
      <c r="V265" s="5" t="s">
        <v>2353</v>
      </c>
      <c r="W265" s="5"/>
      <c r="X265" s="5"/>
      <c r="Y265" s="5"/>
      <c r="Z265" s="5"/>
      <c r="AA265" s="5"/>
      <c r="AB265" s="5"/>
      <c r="AC265" s="10" t="s">
        <v>603</v>
      </c>
      <c r="AD265" s="10"/>
      <c r="AE265" s="10"/>
      <c r="AF265" s="10"/>
      <c r="AG265" s="10"/>
      <c r="AH265" s="10"/>
      <c r="AI265" s="10" t="s">
        <v>604</v>
      </c>
      <c r="AJ265" s="5" t="s">
        <v>1927</v>
      </c>
      <c r="AK265" s="5"/>
      <c r="AL265" s="5"/>
      <c r="AM265" t="s">
        <v>2013</v>
      </c>
      <c r="AN265" t="s">
        <v>1176</v>
      </c>
    </row>
    <row r="266" spans="1:40" ht="15" customHeight="1">
      <c r="A266" t="s">
        <v>2354</v>
      </c>
      <c r="B266" t="s">
        <v>2355</v>
      </c>
      <c r="C266" s="3">
        <v>45909</v>
      </c>
      <c r="D266" s="3">
        <v>45922</v>
      </c>
      <c r="E266" t="s">
        <v>41</v>
      </c>
      <c r="G266" t="s">
        <v>2356</v>
      </c>
      <c r="H266" t="s">
        <v>904</v>
      </c>
      <c r="I266" t="s">
        <v>65</v>
      </c>
      <c r="J266" t="s">
        <v>65</v>
      </c>
      <c r="K266" t="s">
        <v>65</v>
      </c>
      <c r="M266" t="s">
        <v>43</v>
      </c>
      <c r="N266" t="s">
        <v>599</v>
      </c>
      <c r="O266" t="s">
        <v>551</v>
      </c>
      <c r="R266" t="s">
        <v>2357</v>
      </c>
      <c r="S266" t="s">
        <v>2342</v>
      </c>
      <c r="T266" t="s">
        <v>2358</v>
      </c>
      <c r="U266" s="5" t="s">
        <v>2359</v>
      </c>
      <c r="V266" s="5" t="s">
        <v>2360</v>
      </c>
      <c r="W266" s="5"/>
      <c r="X266" s="5"/>
      <c r="Y266" s="5"/>
      <c r="Z266" s="5"/>
      <c r="AA266" s="5"/>
      <c r="AB266" s="5"/>
      <c r="AC266" s="10" t="s">
        <v>603</v>
      </c>
      <c r="AD266" s="10"/>
      <c r="AE266" s="10"/>
      <c r="AF266" s="10"/>
      <c r="AG266" s="10"/>
      <c r="AH266" s="10"/>
      <c r="AI266" s="10" t="s">
        <v>604</v>
      </c>
      <c r="AJ266" s="5" t="s">
        <v>692</v>
      </c>
      <c r="AK266" s="5"/>
      <c r="AL266" s="5"/>
      <c r="AM266" t="s">
        <v>2346</v>
      </c>
      <c r="AN266" t="s">
        <v>84</v>
      </c>
    </row>
    <row r="267" spans="1:40" ht="15" customHeight="1">
      <c r="A267" t="s">
        <v>2361</v>
      </c>
      <c r="C267" s="3">
        <v>45910</v>
      </c>
      <c r="E267" t="s">
        <v>41</v>
      </c>
      <c r="G267" t="s">
        <v>2362</v>
      </c>
      <c r="H267" t="e">
        <f>VLOOKUP(Table1[[#This Row],[Official_Defect_Name]],Sheet2!$A:$F,2,FALSE)</f>
        <v>#N/A</v>
      </c>
      <c r="K267" t="s">
        <v>496</v>
      </c>
      <c r="N267" t="s">
        <v>609</v>
      </c>
      <c r="R267" t="s">
        <v>209</v>
      </c>
      <c r="U267" s="5"/>
      <c r="V267" s="5" t="s">
        <v>2363</v>
      </c>
      <c r="W267" s="5"/>
      <c r="X267" s="5"/>
      <c r="Y267" s="5"/>
      <c r="Z267" s="5"/>
      <c r="AA267" s="5"/>
      <c r="AB267" s="5"/>
      <c r="AC267" s="10"/>
      <c r="AD267" s="10"/>
      <c r="AE267" s="10"/>
      <c r="AF267" s="10"/>
      <c r="AG267" s="10"/>
      <c r="AH267" s="10"/>
      <c r="AI267" s="10"/>
      <c r="AJ267" s="5"/>
      <c r="AK267" s="5"/>
      <c r="AL267" s="5"/>
    </row>
    <row r="268" spans="1:40" ht="15" customHeight="1">
      <c r="A268" t="s">
        <v>2364</v>
      </c>
      <c r="B268" t="s">
        <v>2365</v>
      </c>
      <c r="C268" s="3">
        <v>45910</v>
      </c>
      <c r="D268" s="3">
        <v>45915</v>
      </c>
      <c r="E268" t="s">
        <v>41</v>
      </c>
      <c r="G268" t="s">
        <v>2366</v>
      </c>
      <c r="H268" t="s">
        <v>787</v>
      </c>
      <c r="I268" t="s">
        <v>252</v>
      </c>
      <c r="J268" t="s">
        <v>252</v>
      </c>
      <c r="K268" t="s">
        <v>243</v>
      </c>
      <c r="M268" t="s">
        <v>43</v>
      </c>
      <c r="N268" t="s">
        <v>599</v>
      </c>
      <c r="O268" t="s">
        <v>2333</v>
      </c>
      <c r="R268" t="s">
        <v>1333</v>
      </c>
      <c r="S268" t="s">
        <v>2367</v>
      </c>
      <c r="T268" t="s">
        <v>2368</v>
      </c>
      <c r="U268" s="5" t="s">
        <v>2369</v>
      </c>
      <c r="V268" s="5" t="s">
        <v>2370</v>
      </c>
      <c r="W268" s="5"/>
      <c r="X268" s="5"/>
      <c r="Y268" s="5"/>
      <c r="Z268" s="5"/>
      <c r="AA268" s="5"/>
      <c r="AB268" s="5"/>
      <c r="AC268" s="10" t="s">
        <v>603</v>
      </c>
      <c r="AD268" s="10"/>
      <c r="AE268" s="10"/>
      <c r="AF268" s="10"/>
      <c r="AG268" s="10"/>
      <c r="AH268" s="10"/>
      <c r="AI268" s="10" t="s">
        <v>604</v>
      </c>
      <c r="AJ268" s="5" t="s">
        <v>516</v>
      </c>
      <c r="AK268" s="5"/>
      <c r="AL268" s="5"/>
      <c r="AM268" t="s">
        <v>2337</v>
      </c>
      <c r="AN268" t="s">
        <v>1176</v>
      </c>
    </row>
    <row r="269" spans="1:40" ht="15" customHeight="1">
      <c r="A269" t="s">
        <v>2371</v>
      </c>
      <c r="B269" t="s">
        <v>2372</v>
      </c>
      <c r="C269" s="3">
        <v>45912</v>
      </c>
      <c r="D269" s="3">
        <v>45912</v>
      </c>
      <c r="E269" t="s">
        <v>47</v>
      </c>
      <c r="G269" t="s">
        <v>2373</v>
      </c>
      <c r="H269" t="s">
        <v>1234</v>
      </c>
      <c r="I269" t="s">
        <v>352</v>
      </c>
      <c r="J269" t="s">
        <v>1795</v>
      </c>
      <c r="K269" t="s">
        <v>2374</v>
      </c>
      <c r="M269" t="s">
        <v>43</v>
      </c>
      <c r="N269" t="s">
        <v>599</v>
      </c>
      <c r="O269" t="s">
        <v>2375</v>
      </c>
      <c r="R269" t="s">
        <v>2376</v>
      </c>
      <c r="S269" t="s">
        <v>2377</v>
      </c>
      <c r="T269" t="s">
        <v>2378</v>
      </c>
      <c r="U269" s="5" t="s">
        <v>2379</v>
      </c>
      <c r="V269" s="5" t="s">
        <v>2380</v>
      </c>
      <c r="W269" s="5"/>
      <c r="X269" s="5"/>
      <c r="Y269" s="5"/>
      <c r="Z269" s="5"/>
      <c r="AA269" s="5"/>
      <c r="AB269" s="5"/>
      <c r="AC269" s="10" t="s">
        <v>603</v>
      </c>
      <c r="AD269" s="10"/>
      <c r="AE269" s="10"/>
      <c r="AF269" s="10"/>
      <c r="AG269" s="10"/>
      <c r="AH269" s="10"/>
      <c r="AI269" s="10" t="s">
        <v>604</v>
      </c>
      <c r="AJ269" s="5" t="s">
        <v>516</v>
      </c>
      <c r="AK269" s="5"/>
      <c r="AL269" s="5"/>
      <c r="AM269" t="s">
        <v>2381</v>
      </c>
      <c r="AN269" t="s">
        <v>1176</v>
      </c>
    </row>
    <row r="270" spans="1:40" ht="15" customHeight="1">
      <c r="A270" t="s">
        <v>2382</v>
      </c>
      <c r="B270" t="s">
        <v>2383</v>
      </c>
      <c r="C270" s="3">
        <v>45912</v>
      </c>
      <c r="D270" s="3">
        <v>45912</v>
      </c>
      <c r="E270" t="s">
        <v>47</v>
      </c>
      <c r="G270" t="s">
        <v>2384</v>
      </c>
      <c r="H270" t="s">
        <v>942</v>
      </c>
      <c r="I270" t="s">
        <v>169</v>
      </c>
      <c r="J270" t="s">
        <v>2385</v>
      </c>
      <c r="K270" t="s">
        <v>169</v>
      </c>
      <c r="M270" t="s">
        <v>43</v>
      </c>
      <c r="N270" t="s">
        <v>590</v>
      </c>
      <c r="O270" t="s">
        <v>591</v>
      </c>
      <c r="R270" t="s">
        <v>2386</v>
      </c>
      <c r="S270" t="s">
        <v>2387</v>
      </c>
      <c r="T270" t="s">
        <v>2388</v>
      </c>
      <c r="U270" s="5" t="s">
        <v>2389</v>
      </c>
      <c r="V270" s="5" t="s">
        <v>2390</v>
      </c>
      <c r="W270" s="5"/>
      <c r="X270" s="5"/>
      <c r="Y270" s="5"/>
      <c r="Z270" s="5"/>
      <c r="AA270" s="5"/>
      <c r="AB270" s="5"/>
      <c r="AC270" s="10" t="s">
        <v>603</v>
      </c>
      <c r="AD270" s="10"/>
      <c r="AE270" s="10"/>
      <c r="AF270" s="10"/>
      <c r="AG270" s="10"/>
      <c r="AH270" s="10"/>
      <c r="AI270" s="10" t="s">
        <v>604</v>
      </c>
      <c r="AJ270" s="5" t="s">
        <v>2391</v>
      </c>
      <c r="AK270" s="5"/>
      <c r="AL270" s="5"/>
      <c r="AM270" t="s">
        <v>2392</v>
      </c>
      <c r="AN270" t="s">
        <v>1176</v>
      </c>
    </row>
    <row r="271" spans="1:40" ht="15" customHeight="1">
      <c r="A271" t="s">
        <v>2393</v>
      </c>
      <c r="B271" t="s">
        <v>2394</v>
      </c>
      <c r="C271" s="3">
        <v>45915</v>
      </c>
      <c r="D271" s="3">
        <v>45915</v>
      </c>
      <c r="E271" t="s">
        <v>41</v>
      </c>
      <c r="G271" t="s">
        <v>2395</v>
      </c>
      <c r="H271" t="s">
        <v>1197</v>
      </c>
      <c r="I271" t="s">
        <v>141</v>
      </c>
      <c r="J271" t="s">
        <v>1683</v>
      </c>
      <c r="K271" t="s">
        <v>141</v>
      </c>
      <c r="M271" t="s">
        <v>43</v>
      </c>
      <c r="N271" t="s">
        <v>609</v>
      </c>
      <c r="O271" t="s">
        <v>982</v>
      </c>
      <c r="R271" t="s">
        <v>917</v>
      </c>
      <c r="S271" t="s">
        <v>2396</v>
      </c>
      <c r="T271" t="s">
        <v>2397</v>
      </c>
      <c r="U271" s="5" t="s">
        <v>2398</v>
      </c>
      <c r="V271" s="5" t="s">
        <v>2399</v>
      </c>
      <c r="W271" s="5"/>
      <c r="X271" s="5"/>
      <c r="Y271" s="5"/>
      <c r="Z271" s="5"/>
      <c r="AA271" s="5"/>
      <c r="AB271" s="5"/>
      <c r="AC271" s="10" t="s">
        <v>603</v>
      </c>
      <c r="AD271" s="10"/>
      <c r="AE271" s="10"/>
      <c r="AF271" s="10"/>
      <c r="AG271" s="10"/>
      <c r="AH271" s="10"/>
      <c r="AI271" s="10" t="s">
        <v>604</v>
      </c>
      <c r="AJ271" s="5" t="s">
        <v>2400</v>
      </c>
      <c r="AK271" s="5"/>
      <c r="AL271" s="5"/>
      <c r="AM271" t="s">
        <v>2401</v>
      </c>
      <c r="AN271" t="s">
        <v>84</v>
      </c>
    </row>
    <row r="272" spans="1:40" ht="15" customHeight="1">
      <c r="A272" t="s">
        <v>2402</v>
      </c>
      <c r="B272" t="s">
        <v>2403</v>
      </c>
      <c r="C272" s="3">
        <v>45916</v>
      </c>
      <c r="D272" s="3">
        <v>45923</v>
      </c>
      <c r="E272" t="s">
        <v>41</v>
      </c>
      <c r="G272" t="s">
        <v>2404</v>
      </c>
      <c r="H272" t="s">
        <v>787</v>
      </c>
      <c r="I272" t="s">
        <v>252</v>
      </c>
      <c r="J272" t="s">
        <v>252</v>
      </c>
      <c r="K272" t="s">
        <v>243</v>
      </c>
      <c r="M272" t="s">
        <v>43</v>
      </c>
      <c r="N272" t="s">
        <v>599</v>
      </c>
      <c r="O272" t="s">
        <v>2405</v>
      </c>
      <c r="R272" t="s">
        <v>2406</v>
      </c>
      <c r="S272" t="s">
        <v>2407</v>
      </c>
      <c r="T272" t="s">
        <v>2408</v>
      </c>
      <c r="U272" s="5" t="s">
        <v>2409</v>
      </c>
      <c r="V272" s="5" t="s">
        <v>2410</v>
      </c>
      <c r="W272" s="5"/>
      <c r="X272" s="5"/>
      <c r="Y272" s="5"/>
      <c r="Z272" s="5"/>
      <c r="AA272" s="5"/>
      <c r="AB272" s="5"/>
      <c r="AC272" s="10" t="s">
        <v>603</v>
      </c>
      <c r="AD272" s="10"/>
      <c r="AE272" s="10"/>
      <c r="AF272" s="10"/>
      <c r="AG272" s="10"/>
      <c r="AH272" s="10"/>
      <c r="AI272" s="10" t="s">
        <v>604</v>
      </c>
      <c r="AJ272" s="5" t="s">
        <v>2411</v>
      </c>
      <c r="AK272" s="5"/>
      <c r="AL272" s="5"/>
      <c r="AM272" t="s">
        <v>317</v>
      </c>
      <c r="AN272" t="s">
        <v>84</v>
      </c>
    </row>
    <row r="273" spans="1:40" ht="15" customHeight="1">
      <c r="A273" t="s">
        <v>2412</v>
      </c>
      <c r="B273" t="s">
        <v>2413</v>
      </c>
      <c r="C273" s="3">
        <v>45917</v>
      </c>
      <c r="D273" s="3">
        <v>45923</v>
      </c>
      <c r="E273" t="s">
        <v>41</v>
      </c>
      <c r="G273" t="s">
        <v>2414</v>
      </c>
      <c r="H273" t="s">
        <v>904</v>
      </c>
      <c r="I273" t="s">
        <v>65</v>
      </c>
      <c r="J273" t="s">
        <v>65</v>
      </c>
      <c r="K273" t="s">
        <v>65</v>
      </c>
      <c r="M273" t="s">
        <v>43</v>
      </c>
      <c r="N273" t="s">
        <v>599</v>
      </c>
      <c r="O273" t="s">
        <v>551</v>
      </c>
      <c r="R273" t="s">
        <v>780</v>
      </c>
      <c r="S273" t="s">
        <v>2415</v>
      </c>
      <c r="T273" t="s">
        <v>2416</v>
      </c>
      <c r="U273" s="5" t="s">
        <v>2417</v>
      </c>
      <c r="V273" s="5" t="s">
        <v>2418</v>
      </c>
      <c r="W273" s="5"/>
      <c r="X273" s="5"/>
      <c r="Y273" s="5"/>
      <c r="Z273" s="5"/>
      <c r="AA273" s="5"/>
      <c r="AB273" s="5"/>
      <c r="AC273" s="10" t="s">
        <v>603</v>
      </c>
      <c r="AD273" s="10"/>
      <c r="AE273" s="10"/>
      <c r="AF273" s="10"/>
      <c r="AG273" s="10"/>
      <c r="AH273" s="10"/>
      <c r="AI273" s="10" t="s">
        <v>604</v>
      </c>
      <c r="AJ273" s="5" t="s">
        <v>692</v>
      </c>
      <c r="AK273" s="5"/>
      <c r="AL273" s="5"/>
      <c r="AM273" t="s">
        <v>2419</v>
      </c>
      <c r="AN273" t="s">
        <v>84</v>
      </c>
    </row>
    <row r="274" spans="1:40" ht="15" customHeight="1">
      <c r="A274" t="s">
        <v>2420</v>
      </c>
      <c r="B274" t="s">
        <v>2421</v>
      </c>
      <c r="C274" s="3">
        <v>45917</v>
      </c>
      <c r="D274" s="3">
        <v>45922</v>
      </c>
      <c r="E274" t="s">
        <v>41</v>
      </c>
      <c r="G274" t="s">
        <v>2422</v>
      </c>
      <c r="H274" t="s">
        <v>904</v>
      </c>
      <c r="I274" t="s">
        <v>65</v>
      </c>
      <c r="J274" t="s">
        <v>65</v>
      </c>
      <c r="K274" t="s">
        <v>65</v>
      </c>
      <c r="M274" t="s">
        <v>43</v>
      </c>
      <c r="N274" t="s">
        <v>599</v>
      </c>
      <c r="O274" t="s">
        <v>982</v>
      </c>
      <c r="R274" t="s">
        <v>2423</v>
      </c>
      <c r="S274" t="s">
        <v>2424</v>
      </c>
      <c r="T274" t="s">
        <v>2425</v>
      </c>
      <c r="U274" s="5"/>
      <c r="V274" s="5" t="s">
        <v>2426</v>
      </c>
      <c r="W274" s="5"/>
      <c r="X274" s="5"/>
      <c r="Y274" s="5"/>
      <c r="Z274" s="5"/>
      <c r="AA274" s="5"/>
      <c r="AB274" s="5"/>
      <c r="AC274" s="10" t="s">
        <v>603</v>
      </c>
      <c r="AD274" s="10"/>
      <c r="AE274" s="10"/>
      <c r="AF274" s="10"/>
      <c r="AG274" s="10"/>
      <c r="AH274" s="10"/>
      <c r="AI274" s="10" t="s">
        <v>604</v>
      </c>
      <c r="AJ274" s="5" t="s">
        <v>2427</v>
      </c>
      <c r="AK274" s="5"/>
      <c r="AL274" s="5"/>
      <c r="AM274" t="s">
        <v>2428</v>
      </c>
      <c r="AN274" t="s">
        <v>84</v>
      </c>
    </row>
    <row r="275" spans="1:40" ht="15" customHeight="1">
      <c r="A275" t="s">
        <v>2429</v>
      </c>
      <c r="B275" t="s">
        <v>2430</v>
      </c>
      <c r="C275" s="3">
        <v>45922</v>
      </c>
      <c r="D275" s="3">
        <v>45923</v>
      </c>
      <c r="E275" t="s">
        <v>41</v>
      </c>
      <c r="G275" t="s">
        <v>2431</v>
      </c>
      <c r="H275" t="s">
        <v>873</v>
      </c>
      <c r="I275" t="s">
        <v>159</v>
      </c>
      <c r="J275" t="s">
        <v>2432</v>
      </c>
      <c r="K275" t="s">
        <v>817</v>
      </c>
      <c r="M275" t="s">
        <v>43</v>
      </c>
      <c r="N275" t="s">
        <v>632</v>
      </c>
      <c r="O275" t="s">
        <v>982</v>
      </c>
      <c r="R275" t="s">
        <v>2433</v>
      </c>
      <c r="S275" t="s">
        <v>2434</v>
      </c>
      <c r="T275" t="s">
        <v>2435</v>
      </c>
      <c r="U275" s="5" t="s">
        <v>2436</v>
      </c>
      <c r="V275" s="5" t="s">
        <v>2437</v>
      </c>
      <c r="W275" s="5"/>
      <c r="X275" s="5"/>
      <c r="Y275" s="5"/>
      <c r="Z275" s="5"/>
      <c r="AA275" s="5"/>
      <c r="AB275" s="5"/>
      <c r="AC275" s="10" t="s">
        <v>603</v>
      </c>
      <c r="AD275" s="10"/>
      <c r="AE275" s="10"/>
      <c r="AF275" s="10"/>
      <c r="AG275" s="10"/>
      <c r="AH275" s="10"/>
      <c r="AI275" s="10" t="s">
        <v>604</v>
      </c>
      <c r="AJ275" s="5" t="s">
        <v>2438</v>
      </c>
      <c r="AK275" s="5"/>
      <c r="AL275" s="5"/>
      <c r="AM275" t="s">
        <v>2439</v>
      </c>
      <c r="AN275" t="s">
        <v>84</v>
      </c>
    </row>
    <row r="276" spans="1:40" ht="15" customHeight="1">
      <c r="A276" t="s">
        <v>2440</v>
      </c>
      <c r="B276" t="s">
        <v>2441</v>
      </c>
      <c r="C276" s="3">
        <v>45923</v>
      </c>
      <c r="D276" s="3">
        <v>45923</v>
      </c>
      <c r="E276" t="s">
        <v>41</v>
      </c>
      <c r="G276" t="s">
        <v>2442</v>
      </c>
      <c r="H276" t="s">
        <v>850</v>
      </c>
      <c r="I276" t="s">
        <v>48</v>
      </c>
      <c r="J276" t="s">
        <v>1711</v>
      </c>
      <c r="K276" t="s">
        <v>48</v>
      </c>
      <c r="M276" t="s">
        <v>43</v>
      </c>
      <c r="N276" t="s">
        <v>599</v>
      </c>
      <c r="O276" t="s">
        <v>571</v>
      </c>
      <c r="R276" t="s">
        <v>1701</v>
      </c>
      <c r="S276" t="s">
        <v>2443</v>
      </c>
      <c r="T276" t="s">
        <v>2444</v>
      </c>
      <c r="U276" s="5" t="s">
        <v>2445</v>
      </c>
      <c r="V276" s="5" t="s">
        <v>2446</v>
      </c>
      <c r="W276" s="5"/>
      <c r="X276" s="5"/>
      <c r="Y276" s="5"/>
      <c r="Z276" s="5"/>
      <c r="AA276" s="5"/>
      <c r="AB276" s="5"/>
      <c r="AC276" s="10" t="s">
        <v>603</v>
      </c>
      <c r="AD276" s="10"/>
      <c r="AE276" s="10"/>
      <c r="AF276" s="10"/>
      <c r="AG276" s="10"/>
      <c r="AH276" s="10"/>
      <c r="AI276" s="10" t="s">
        <v>604</v>
      </c>
      <c r="AJ276" s="5" t="s">
        <v>1927</v>
      </c>
      <c r="AK276" s="5"/>
      <c r="AL276" s="5"/>
      <c r="AM276" t="s">
        <v>2447</v>
      </c>
      <c r="AN276" t="s">
        <v>1176</v>
      </c>
    </row>
    <row r="277" spans="1:40" ht="15" customHeight="1">
      <c r="A277" t="s">
        <v>2448</v>
      </c>
      <c r="B277" t="s">
        <v>2449</v>
      </c>
      <c r="C277" s="3">
        <v>45939</v>
      </c>
      <c r="D277" s="3">
        <v>45953</v>
      </c>
      <c r="E277" t="s">
        <v>47</v>
      </c>
      <c r="G277" t="s">
        <v>2450</v>
      </c>
      <c r="H277" t="s">
        <v>2451</v>
      </c>
      <c r="I277" t="s">
        <v>2452</v>
      </c>
      <c r="J277" t="s">
        <v>2453</v>
      </c>
      <c r="K277" t="s">
        <v>2454</v>
      </c>
      <c r="M277" t="s">
        <v>43</v>
      </c>
      <c r="N277" t="s">
        <v>840</v>
      </c>
      <c r="O277" t="s">
        <v>2090</v>
      </c>
      <c r="R277" t="s">
        <v>173</v>
      </c>
      <c r="S277" t="s">
        <v>2455</v>
      </c>
      <c r="T277" t="s">
        <v>2456</v>
      </c>
      <c r="U277" s="5" t="s">
        <v>2457</v>
      </c>
      <c r="V277" s="5" t="s">
        <v>2458</v>
      </c>
      <c r="W277" s="5"/>
      <c r="X277" s="5"/>
      <c r="Y277" s="5"/>
      <c r="Z277" s="5"/>
      <c r="AA277" s="5"/>
      <c r="AB277" s="5"/>
      <c r="AC277" s="10" t="s">
        <v>603</v>
      </c>
      <c r="AD277" s="10"/>
      <c r="AE277" s="10"/>
      <c r="AF277" s="10"/>
      <c r="AG277" s="10"/>
      <c r="AH277" s="10"/>
      <c r="AI277" s="10" t="s">
        <v>604</v>
      </c>
      <c r="AJ277" s="5" t="s">
        <v>317</v>
      </c>
      <c r="AK277" s="5"/>
      <c r="AL277" s="5"/>
      <c r="AM277" t="s">
        <v>2459</v>
      </c>
      <c r="AN277" t="s">
        <v>84</v>
      </c>
    </row>
    <row r="278" spans="1:40" ht="15" customHeight="1">
      <c r="A278" t="s">
        <v>2460</v>
      </c>
      <c r="B278" t="s">
        <v>2461</v>
      </c>
      <c r="C278" s="3">
        <v>45940</v>
      </c>
      <c r="D278" s="3">
        <v>45953</v>
      </c>
      <c r="E278" t="s">
        <v>47</v>
      </c>
      <c r="G278" t="s">
        <v>2462</v>
      </c>
      <c r="H278" t="s">
        <v>1013</v>
      </c>
      <c r="I278" t="s">
        <v>668</v>
      </c>
      <c r="J278" t="s">
        <v>1795</v>
      </c>
      <c r="K278" t="s">
        <v>2463</v>
      </c>
      <c r="M278" t="s">
        <v>43</v>
      </c>
      <c r="N278" t="s">
        <v>632</v>
      </c>
      <c r="O278" t="s">
        <v>670</v>
      </c>
      <c r="R278" t="s">
        <v>2464</v>
      </c>
      <c r="S278" t="s">
        <v>2465</v>
      </c>
      <c r="T278" t="s">
        <v>2466</v>
      </c>
      <c r="U278" s="5" t="s">
        <v>2467</v>
      </c>
      <c r="V278" s="5" t="s">
        <v>2468</v>
      </c>
      <c r="W278" s="5"/>
      <c r="X278" s="5"/>
      <c r="Y278" s="5"/>
      <c r="Z278" s="5"/>
      <c r="AA278" s="5"/>
      <c r="AB278" s="5"/>
      <c r="AC278" s="10" t="s">
        <v>603</v>
      </c>
      <c r="AD278" s="10"/>
      <c r="AE278" s="10"/>
      <c r="AF278" s="10"/>
      <c r="AG278" s="10"/>
      <c r="AH278" s="10"/>
      <c r="AI278" s="10" t="s">
        <v>604</v>
      </c>
      <c r="AJ278" s="5" t="s">
        <v>2469</v>
      </c>
      <c r="AK278" s="5"/>
      <c r="AL278" s="5"/>
      <c r="AM278" t="s">
        <v>2470</v>
      </c>
      <c r="AN278" t="s">
        <v>84</v>
      </c>
    </row>
    <row r="279" spans="1:40" ht="15" customHeight="1">
      <c r="A279" t="s">
        <v>2471</v>
      </c>
      <c r="B279" t="s">
        <v>2472</v>
      </c>
      <c r="C279" s="3">
        <v>45944</v>
      </c>
      <c r="D279" s="3">
        <v>45945</v>
      </c>
      <c r="E279" t="s">
        <v>278</v>
      </c>
      <c r="G279" t="s">
        <v>2473</v>
      </c>
      <c r="H279" t="s">
        <v>2028</v>
      </c>
      <c r="I279" t="s">
        <v>374</v>
      </c>
      <c r="J279" t="s">
        <v>1711</v>
      </c>
      <c r="K279" t="s">
        <v>374</v>
      </c>
      <c r="M279" t="s">
        <v>43</v>
      </c>
      <c r="N279" t="s">
        <v>599</v>
      </c>
      <c r="O279" t="s">
        <v>571</v>
      </c>
      <c r="R279" t="s">
        <v>2474</v>
      </c>
      <c r="S279" t="s">
        <v>2475</v>
      </c>
      <c r="T279" t="s">
        <v>2476</v>
      </c>
      <c r="U279" s="5" t="s">
        <v>2477</v>
      </c>
      <c r="V279" s="5" t="s">
        <v>2478</v>
      </c>
      <c r="W279" s="5"/>
      <c r="X279" s="5"/>
      <c r="Y279" s="5"/>
      <c r="Z279" s="5"/>
      <c r="AA279" s="5"/>
      <c r="AB279" s="5"/>
      <c r="AC279" s="10" t="s">
        <v>603</v>
      </c>
      <c r="AD279" s="10"/>
      <c r="AE279" s="10"/>
      <c r="AF279" s="10"/>
      <c r="AG279" s="10"/>
      <c r="AH279" s="10"/>
      <c r="AI279" s="10" t="s">
        <v>604</v>
      </c>
      <c r="AJ279" s="5" t="s">
        <v>2479</v>
      </c>
      <c r="AK279" s="5"/>
      <c r="AL279" s="5"/>
      <c r="AM279" t="s">
        <v>2480</v>
      </c>
      <c r="AN279" t="s">
        <v>1176</v>
      </c>
    </row>
    <row r="280" spans="1:40" ht="15" customHeight="1">
      <c r="A280" t="s">
        <v>2481</v>
      </c>
      <c r="C280" s="3">
        <v>45944</v>
      </c>
      <c r="E280" t="s">
        <v>457</v>
      </c>
      <c r="G280" t="s">
        <v>2482</v>
      </c>
      <c r="H280" t="e">
        <f>VLOOKUP(Table1[[#This Row],[Official_Defect_Name]],Sheet2!$A:$F,2,FALSE)</f>
        <v>#N/A</v>
      </c>
      <c r="K280" t="s">
        <v>449</v>
      </c>
      <c r="N280" t="s">
        <v>632</v>
      </c>
      <c r="R280" t="s">
        <v>191</v>
      </c>
      <c r="U280" s="5"/>
      <c r="V280" s="5" t="s">
        <v>2483</v>
      </c>
      <c r="W280" s="5"/>
      <c r="X280" s="5"/>
      <c r="Y280" s="5"/>
      <c r="Z280" s="5"/>
      <c r="AA280" s="5"/>
      <c r="AB280" s="5"/>
      <c r="AC280" s="10"/>
      <c r="AD280" s="10"/>
      <c r="AE280" s="10"/>
      <c r="AF280" s="10"/>
      <c r="AG280" s="10"/>
      <c r="AH280" s="10"/>
      <c r="AI280" s="10"/>
      <c r="AJ280" s="5"/>
      <c r="AK280" s="5"/>
      <c r="AL280" s="5"/>
    </row>
    <row r="281" spans="1:40" ht="15" customHeight="1">
      <c r="A281" t="s">
        <v>2484</v>
      </c>
      <c r="C281" s="3">
        <v>45945</v>
      </c>
      <c r="E281" t="s">
        <v>457</v>
      </c>
      <c r="G281" t="s">
        <v>2482</v>
      </c>
      <c r="H281" t="e">
        <f>VLOOKUP(Table1[[#This Row],[Official_Defect_Name]],Sheet2!$A:$F,2,FALSE)</f>
        <v>#N/A</v>
      </c>
      <c r="K281" t="s">
        <v>243</v>
      </c>
      <c r="N281" t="s">
        <v>599</v>
      </c>
      <c r="R281" t="s">
        <v>2485</v>
      </c>
      <c r="U281" s="5"/>
      <c r="V281" s="5" t="s">
        <v>2486</v>
      </c>
      <c r="W281" s="5"/>
      <c r="X281" s="5"/>
      <c r="Y281" s="5"/>
      <c r="Z281" s="5"/>
      <c r="AA281" s="5"/>
      <c r="AB281" s="5"/>
      <c r="AC281" s="10"/>
      <c r="AD281" s="10"/>
      <c r="AE281" s="10"/>
      <c r="AF281" s="10"/>
      <c r="AG281" s="10"/>
      <c r="AH281" s="10"/>
      <c r="AI281" s="10"/>
      <c r="AJ281" s="5"/>
      <c r="AK281" s="5"/>
      <c r="AL281" s="5"/>
    </row>
    <row r="282" spans="1:40" ht="15" customHeight="1">
      <c r="A282" t="s">
        <v>2487</v>
      </c>
      <c r="C282" s="3">
        <v>45945</v>
      </c>
      <c r="E282" t="s">
        <v>457</v>
      </c>
      <c r="G282" t="s">
        <v>2482</v>
      </c>
      <c r="H282" t="e">
        <f>VLOOKUP(Table1[[#This Row],[Official_Defect_Name]],Sheet2!$A:$F,2,FALSE)</f>
        <v>#N/A</v>
      </c>
      <c r="K282" t="s">
        <v>1700</v>
      </c>
      <c r="N282" t="s">
        <v>599</v>
      </c>
      <c r="R282" t="s">
        <v>2488</v>
      </c>
      <c r="U282" s="5"/>
      <c r="V282" s="5" t="s">
        <v>2489</v>
      </c>
      <c r="W282" s="5"/>
      <c r="X282" s="5"/>
      <c r="Y282" s="5"/>
      <c r="Z282" s="5"/>
      <c r="AA282" s="5"/>
      <c r="AB282" s="5"/>
      <c r="AC282" s="10"/>
      <c r="AD282" s="10"/>
      <c r="AE282" s="10"/>
      <c r="AF282" s="10"/>
      <c r="AG282" s="10"/>
      <c r="AH282" s="10"/>
      <c r="AI282" s="10"/>
      <c r="AJ282" s="5"/>
      <c r="AK282" s="5"/>
      <c r="AL282" s="5"/>
    </row>
    <row r="283" spans="1:40" ht="15" customHeight="1">
      <c r="A283" t="s">
        <v>2490</v>
      </c>
      <c r="C283" s="3">
        <v>45945</v>
      </c>
      <c r="E283" t="s">
        <v>457</v>
      </c>
      <c r="G283" t="s">
        <v>2491</v>
      </c>
      <c r="H283" t="e">
        <f>VLOOKUP(Table1[[#This Row],[Official_Defect_Name]],Sheet2!$A:$F,2,FALSE)</f>
        <v>#N/A</v>
      </c>
      <c r="K283" t="s">
        <v>1700</v>
      </c>
      <c r="N283" t="s">
        <v>599</v>
      </c>
      <c r="R283" t="s">
        <v>320</v>
      </c>
      <c r="U283" s="5"/>
      <c r="V283" s="5" t="s">
        <v>2492</v>
      </c>
      <c r="W283" s="5"/>
      <c r="X283" s="5"/>
      <c r="Y283" s="5"/>
      <c r="Z283" s="5"/>
      <c r="AA283" s="5"/>
      <c r="AB283" s="5"/>
      <c r="AC283" s="10"/>
      <c r="AD283" s="10"/>
      <c r="AE283" s="10"/>
      <c r="AF283" s="10"/>
      <c r="AG283" s="10"/>
      <c r="AH283" s="10"/>
      <c r="AI283" s="10"/>
      <c r="AJ283" s="5"/>
      <c r="AK283" s="5"/>
      <c r="AL283" s="5"/>
    </row>
    <row r="284" spans="1:40" ht="15" customHeight="1">
      <c r="A284" t="s">
        <v>2493</v>
      </c>
      <c r="C284" s="3">
        <v>45945</v>
      </c>
      <c r="E284" t="s">
        <v>457</v>
      </c>
      <c r="G284" t="s">
        <v>2494</v>
      </c>
      <c r="H284" t="e">
        <f>VLOOKUP(Table1[[#This Row],[Official_Defect_Name]],Sheet2!$A:$F,2,FALSE)</f>
        <v>#N/A</v>
      </c>
      <c r="K284" t="s">
        <v>2495</v>
      </c>
      <c r="N284" t="s">
        <v>609</v>
      </c>
      <c r="R284" t="s">
        <v>191</v>
      </c>
      <c r="U284" s="5"/>
      <c r="V284" s="5" t="s">
        <v>2496</v>
      </c>
      <c r="W284" s="5"/>
      <c r="X284" s="5"/>
      <c r="Y284" s="5"/>
      <c r="Z284" s="5"/>
      <c r="AA284" s="5"/>
      <c r="AB284" s="5"/>
      <c r="AC284" s="10"/>
      <c r="AD284" s="10"/>
      <c r="AE284" s="10"/>
      <c r="AF284" s="10"/>
      <c r="AG284" s="10"/>
      <c r="AH284" s="10"/>
      <c r="AI284" s="10"/>
      <c r="AJ284" s="5"/>
      <c r="AK284" s="5"/>
      <c r="AL284" s="5"/>
    </row>
    <row r="285" spans="1:40" ht="15" customHeight="1">
      <c r="A285" t="s">
        <v>2497</v>
      </c>
      <c r="B285" t="s">
        <v>2498</v>
      </c>
      <c r="C285" s="3">
        <v>45946</v>
      </c>
      <c r="D285" s="3">
        <v>45953</v>
      </c>
      <c r="E285" t="s">
        <v>41</v>
      </c>
      <c r="G285" t="s">
        <v>2499</v>
      </c>
      <c r="H285" t="s">
        <v>884</v>
      </c>
      <c r="I285" t="s">
        <v>181</v>
      </c>
      <c r="J285" t="s">
        <v>1711</v>
      </c>
      <c r="K285" t="s">
        <v>181</v>
      </c>
      <c r="M285" t="s">
        <v>43</v>
      </c>
      <c r="N285" t="s">
        <v>599</v>
      </c>
      <c r="O285" t="s">
        <v>1539</v>
      </c>
      <c r="R285" t="s">
        <v>2500</v>
      </c>
      <c r="S285" t="s">
        <v>2501</v>
      </c>
      <c r="T285" t="s">
        <v>2502</v>
      </c>
      <c r="U285" s="5" t="s">
        <v>2503</v>
      </c>
      <c r="V285" s="5" t="s">
        <v>2504</v>
      </c>
      <c r="W285" s="5"/>
      <c r="X285" s="5"/>
      <c r="Y285" s="5"/>
      <c r="Z285" s="5"/>
      <c r="AA285" s="5"/>
      <c r="AB285" s="5"/>
      <c r="AC285" s="10" t="s">
        <v>603</v>
      </c>
      <c r="AD285" s="10"/>
      <c r="AE285" s="10"/>
      <c r="AF285" s="10"/>
      <c r="AG285" s="10"/>
      <c r="AH285" s="10"/>
      <c r="AI285" s="10" t="s">
        <v>604</v>
      </c>
      <c r="AJ285" s="5" t="s">
        <v>1927</v>
      </c>
      <c r="AK285" s="5"/>
      <c r="AL285" s="5"/>
      <c r="AM285" t="s">
        <v>2505</v>
      </c>
      <c r="AN285" t="s">
        <v>1176</v>
      </c>
    </row>
    <row r="286" spans="1:40" ht="15" customHeight="1">
      <c r="A286" t="s">
        <v>2506</v>
      </c>
      <c r="C286" s="3">
        <v>45947</v>
      </c>
      <c r="E286" t="s">
        <v>41</v>
      </c>
      <c r="G286" t="s">
        <v>2507</v>
      </c>
      <c r="H286" t="e">
        <f>VLOOKUP(Table1[[#This Row],[Official_Defect_Name]],Sheet2!$A:$F,2,FALSE)</f>
        <v>#N/A</v>
      </c>
      <c r="K286" t="s">
        <v>496</v>
      </c>
      <c r="N286" t="s">
        <v>609</v>
      </c>
      <c r="R286" t="s">
        <v>320</v>
      </c>
      <c r="U286" s="5"/>
      <c r="V286" s="5" t="s">
        <v>2508</v>
      </c>
      <c r="W286" s="5"/>
      <c r="X286" s="5"/>
      <c r="Y286" s="5"/>
      <c r="Z286" s="5"/>
      <c r="AA286" s="5"/>
      <c r="AB286" s="5"/>
      <c r="AC286" s="10"/>
      <c r="AD286" s="10"/>
      <c r="AE286" s="10"/>
      <c r="AF286" s="10"/>
      <c r="AG286" s="10"/>
      <c r="AH286" s="10"/>
      <c r="AI286" s="10"/>
      <c r="AJ286" s="5"/>
      <c r="AK286" s="5"/>
      <c r="AL286" s="5"/>
    </row>
    <row r="287" spans="1:40" ht="15" customHeight="1">
      <c r="A287" t="s">
        <v>2509</v>
      </c>
      <c r="B287" t="s">
        <v>2510</v>
      </c>
      <c r="C287" s="3">
        <v>45947</v>
      </c>
      <c r="D287" s="3">
        <v>45947</v>
      </c>
      <c r="E287" t="s">
        <v>47</v>
      </c>
      <c r="G287" t="s">
        <v>2511</v>
      </c>
      <c r="H287" t="s">
        <v>2512</v>
      </c>
      <c r="I287" t="s">
        <v>2513</v>
      </c>
      <c r="J287" t="s">
        <v>2385</v>
      </c>
      <c r="K287" t="s">
        <v>2513</v>
      </c>
      <c r="M287" t="s">
        <v>43</v>
      </c>
      <c r="N287" t="s">
        <v>609</v>
      </c>
      <c r="O287" t="s">
        <v>2514</v>
      </c>
      <c r="R287" t="s">
        <v>2515</v>
      </c>
      <c r="S287" t="s">
        <v>2516</v>
      </c>
      <c r="T287" t="s">
        <v>2517</v>
      </c>
      <c r="U287" s="5" t="s">
        <v>2518</v>
      </c>
      <c r="V287" s="5" t="s">
        <v>2519</v>
      </c>
      <c r="W287" s="5"/>
      <c r="X287" s="5"/>
      <c r="Y287" s="5"/>
      <c r="Z287" s="5"/>
      <c r="AA287" s="5"/>
      <c r="AB287" s="5"/>
      <c r="AC287" s="10" t="s">
        <v>603</v>
      </c>
      <c r="AD287" s="10"/>
      <c r="AE287" s="10"/>
      <c r="AF287" s="10"/>
      <c r="AG287" s="10"/>
      <c r="AH287" s="10"/>
      <c r="AI287" s="10" t="s">
        <v>604</v>
      </c>
      <c r="AJ287" s="5" t="s">
        <v>2520</v>
      </c>
      <c r="AK287" s="5"/>
      <c r="AL287" s="5"/>
      <c r="AM287" t="s">
        <v>2521</v>
      </c>
      <c r="AN287" t="s">
        <v>74</v>
      </c>
    </row>
    <row r="288" spans="1:40" ht="15" customHeight="1">
      <c r="A288" t="s">
        <v>2522</v>
      </c>
      <c r="C288" s="3">
        <v>45951</v>
      </c>
      <c r="E288" t="s">
        <v>41</v>
      </c>
      <c r="G288" t="s">
        <v>2523</v>
      </c>
      <c r="H288" t="e">
        <f>VLOOKUP(Table1[[#This Row],[Official_Defect_Name]],Sheet2!$A:$F,2,FALSE)</f>
        <v>#N/A</v>
      </c>
      <c r="K288" t="s">
        <v>496</v>
      </c>
      <c r="N288" t="s">
        <v>632</v>
      </c>
      <c r="R288" t="s">
        <v>320</v>
      </c>
      <c r="U288" s="5"/>
      <c r="V288" s="5" t="s">
        <v>2524</v>
      </c>
      <c r="W288" s="5"/>
      <c r="X288" s="5"/>
      <c r="Y288" s="5"/>
      <c r="Z288" s="5"/>
      <c r="AA288" s="5"/>
      <c r="AB288" s="5"/>
      <c r="AC288" s="10"/>
      <c r="AD288" s="10"/>
      <c r="AE288" s="10"/>
      <c r="AF288" s="10"/>
      <c r="AG288" s="10"/>
      <c r="AH288" s="10"/>
      <c r="AI288" s="10"/>
      <c r="AJ288" s="5"/>
      <c r="AK288" s="5"/>
      <c r="AL288" s="5"/>
    </row>
    <row r="289" spans="1:40" ht="15" customHeight="1">
      <c r="A289" t="s">
        <v>2525</v>
      </c>
      <c r="C289" s="3">
        <v>45957</v>
      </c>
      <c r="E289" t="s">
        <v>47</v>
      </c>
      <c r="G289" t="s">
        <v>2526</v>
      </c>
      <c r="H289" t="e">
        <f>VLOOKUP(Table1[[#This Row],[Official_Defect_Name]],Sheet2!$A:$F,2,FALSE)</f>
        <v>#N/A</v>
      </c>
      <c r="K289" t="s">
        <v>435</v>
      </c>
      <c r="N289" t="s">
        <v>609</v>
      </c>
      <c r="R289" t="s">
        <v>320</v>
      </c>
      <c r="U289" s="5"/>
      <c r="V289" s="5" t="s">
        <v>2527</v>
      </c>
      <c r="W289" s="5"/>
      <c r="X289" s="5"/>
      <c r="Y289" s="5"/>
      <c r="Z289" s="5"/>
      <c r="AA289" s="5"/>
      <c r="AB289" s="5"/>
      <c r="AC289" s="10"/>
      <c r="AD289" s="10"/>
      <c r="AE289" s="10"/>
      <c r="AF289" s="10"/>
      <c r="AG289" s="10"/>
      <c r="AH289" s="10"/>
      <c r="AI289" s="10"/>
      <c r="AJ289" s="5"/>
      <c r="AK289" s="5"/>
      <c r="AL289" s="5"/>
    </row>
    <row r="290" spans="1:40" ht="15" customHeight="1">
      <c r="A290" t="s">
        <v>2528</v>
      </c>
      <c r="C290" s="3">
        <v>45960</v>
      </c>
      <c r="E290" t="s">
        <v>47</v>
      </c>
      <c r="G290" t="s">
        <v>2529</v>
      </c>
      <c r="H290" t="e">
        <f>VLOOKUP(Table1[[#This Row],[Official_Defect_Name]],Sheet2!$A:$F,2,FALSE)</f>
        <v>#N/A</v>
      </c>
      <c r="K290" t="s">
        <v>1258</v>
      </c>
      <c r="N290" t="s">
        <v>599</v>
      </c>
      <c r="R290" t="s">
        <v>320</v>
      </c>
      <c r="U290" s="5"/>
      <c r="V290" s="5" t="s">
        <v>2530</v>
      </c>
      <c r="W290" s="5"/>
      <c r="X290" s="5"/>
      <c r="Y290" s="5"/>
      <c r="Z290" s="5"/>
      <c r="AA290" s="5"/>
      <c r="AB290" s="5"/>
      <c r="AC290" s="10"/>
      <c r="AD290" s="10"/>
      <c r="AE290" s="10"/>
      <c r="AF290" s="10"/>
      <c r="AG290" s="10"/>
      <c r="AH290" s="10"/>
      <c r="AI290" s="10"/>
      <c r="AJ290" s="5"/>
      <c r="AK290" s="5"/>
      <c r="AL290" s="5"/>
    </row>
    <row r="291" spans="1:40" ht="15" customHeight="1">
      <c r="A291" t="s">
        <v>2531</v>
      </c>
      <c r="C291" s="3">
        <v>45961</v>
      </c>
      <c r="E291" t="s">
        <v>47</v>
      </c>
      <c r="G291" t="s">
        <v>2532</v>
      </c>
      <c r="H291" t="e">
        <f>VLOOKUP(Table1[[#This Row],[Official_Defect_Name]],Sheet2!$A:$F,2,FALSE)</f>
        <v>#N/A</v>
      </c>
      <c r="K291" t="s">
        <v>2533</v>
      </c>
      <c r="N291" t="s">
        <v>632</v>
      </c>
      <c r="R291" t="s">
        <v>320</v>
      </c>
      <c r="U291" s="5"/>
      <c r="V291" s="5" t="s">
        <v>2534</v>
      </c>
      <c r="W291" s="5"/>
      <c r="X291" s="5"/>
      <c r="Y291" s="5"/>
      <c r="Z291" s="5"/>
      <c r="AA291" s="5"/>
      <c r="AB291" s="5"/>
      <c r="AC291" s="10"/>
      <c r="AD291" s="10"/>
      <c r="AE291" s="10"/>
      <c r="AF291" s="10"/>
      <c r="AG291" s="10"/>
      <c r="AH291" s="10"/>
      <c r="AI291" s="10"/>
      <c r="AJ291" s="5"/>
      <c r="AK291" s="5"/>
      <c r="AL291" s="5"/>
    </row>
    <row r="292" spans="1:40" ht="15" customHeight="1">
      <c r="A292" t="s">
        <v>2535</v>
      </c>
      <c r="B292" t="s">
        <v>2536</v>
      </c>
      <c r="C292" s="3">
        <v>45965</v>
      </c>
      <c r="D292" s="3">
        <v>45965</v>
      </c>
      <c r="E292" t="s">
        <v>457</v>
      </c>
      <c r="G292" t="s">
        <v>2537</v>
      </c>
      <c r="H292" t="s">
        <v>1648</v>
      </c>
      <c r="I292" t="s">
        <v>449</v>
      </c>
      <c r="J292" t="s">
        <v>2187</v>
      </c>
      <c r="K292" t="s">
        <v>449</v>
      </c>
      <c r="M292" t="s">
        <v>43</v>
      </c>
      <c r="N292" t="s">
        <v>840</v>
      </c>
      <c r="O292" t="s">
        <v>2538</v>
      </c>
      <c r="R292" t="s">
        <v>320</v>
      </c>
      <c r="S292" t="s">
        <v>2539</v>
      </c>
      <c r="T292" t="s">
        <v>2540</v>
      </c>
      <c r="U292" s="5" t="s">
        <v>2541</v>
      </c>
      <c r="V292" s="5" t="s">
        <v>2542</v>
      </c>
      <c r="W292" s="5"/>
      <c r="X292" s="5"/>
      <c r="Y292" s="5"/>
      <c r="Z292" s="5"/>
      <c r="AA292" s="5"/>
      <c r="AB292" s="5"/>
      <c r="AC292" s="10" t="s">
        <v>603</v>
      </c>
      <c r="AD292" s="10"/>
      <c r="AE292" s="10"/>
      <c r="AF292" s="10"/>
      <c r="AG292" s="10"/>
      <c r="AH292" s="10"/>
      <c r="AI292" s="10" t="s">
        <v>604</v>
      </c>
      <c r="AJ292" s="5" t="s">
        <v>2543</v>
      </c>
      <c r="AK292" s="5"/>
      <c r="AL292" s="5"/>
      <c r="AM292" t="s">
        <v>2544</v>
      </c>
      <c r="AN292" t="s">
        <v>1176</v>
      </c>
    </row>
    <row r="293" spans="1:40" ht="15" customHeight="1">
      <c r="A293" t="s">
        <v>2545</v>
      </c>
      <c r="B293" t="s">
        <v>2546</v>
      </c>
      <c r="C293" s="3">
        <v>45967</v>
      </c>
      <c r="D293" s="3">
        <v>45971</v>
      </c>
      <c r="E293" t="s">
        <v>47</v>
      </c>
      <c r="G293" t="s">
        <v>2547</v>
      </c>
      <c r="H293" t="s">
        <v>850</v>
      </c>
      <c r="I293" t="s">
        <v>48</v>
      </c>
      <c r="J293" t="s">
        <v>1711</v>
      </c>
      <c r="K293" t="s">
        <v>48</v>
      </c>
      <c r="M293" t="s">
        <v>43</v>
      </c>
      <c r="N293" t="s">
        <v>599</v>
      </c>
      <c r="O293" t="s">
        <v>2548</v>
      </c>
      <c r="R293" t="s">
        <v>270</v>
      </c>
      <c r="S293" t="s">
        <v>2280</v>
      </c>
      <c r="T293" t="s">
        <v>2549</v>
      </c>
      <c r="U293" s="5" t="s">
        <v>2550</v>
      </c>
      <c r="V293" s="5" t="s">
        <v>2551</v>
      </c>
      <c r="W293" s="5"/>
      <c r="X293" s="5"/>
      <c r="Y293" s="5"/>
      <c r="Z293" s="5"/>
      <c r="AA293" s="5"/>
      <c r="AB293" s="5"/>
      <c r="AC293" s="10" t="s">
        <v>603</v>
      </c>
      <c r="AD293" s="10"/>
      <c r="AE293" s="10"/>
      <c r="AF293" s="10"/>
      <c r="AG293" s="10"/>
      <c r="AH293" s="10"/>
      <c r="AI293" s="10" t="s">
        <v>604</v>
      </c>
      <c r="AJ293" s="5" t="s">
        <v>2552</v>
      </c>
      <c r="AK293" s="5"/>
      <c r="AL293" s="5"/>
      <c r="AM293" t="s">
        <v>2553</v>
      </c>
      <c r="AN293" t="s">
        <v>1176</v>
      </c>
    </row>
    <row r="294" spans="1:40" ht="15" customHeight="1">
      <c r="A294" t="s">
        <v>2554</v>
      </c>
      <c r="B294" t="s">
        <v>2555</v>
      </c>
      <c r="C294" s="3">
        <v>45975</v>
      </c>
      <c r="D294" s="3">
        <v>45985</v>
      </c>
      <c r="E294" t="s">
        <v>47</v>
      </c>
      <c r="G294" t="s">
        <v>2556</v>
      </c>
      <c r="H294" t="s">
        <v>1370</v>
      </c>
      <c r="I294" t="s">
        <v>435</v>
      </c>
      <c r="J294" t="s">
        <v>435</v>
      </c>
      <c r="K294" t="s">
        <v>435</v>
      </c>
      <c r="M294" t="s">
        <v>43</v>
      </c>
      <c r="N294" t="s">
        <v>609</v>
      </c>
      <c r="O294" t="s">
        <v>2557</v>
      </c>
      <c r="R294" t="s">
        <v>2558</v>
      </c>
      <c r="S294" t="s">
        <v>2559</v>
      </c>
      <c r="T294" t="s">
        <v>2560</v>
      </c>
      <c r="U294" s="5" t="s">
        <v>2561</v>
      </c>
      <c r="V294" s="5" t="s">
        <v>2562</v>
      </c>
      <c r="W294" s="5"/>
      <c r="X294" s="5"/>
      <c r="Y294" s="5"/>
      <c r="Z294" s="5"/>
      <c r="AA294" s="5"/>
      <c r="AB294" s="5"/>
      <c r="AC294" s="10" t="s">
        <v>603</v>
      </c>
      <c r="AD294" s="10" t="s">
        <v>2563</v>
      </c>
      <c r="AE294" s="10" t="s">
        <v>2564</v>
      </c>
      <c r="AF294" s="10" t="s">
        <v>2565</v>
      </c>
      <c r="AG294" s="10" t="s">
        <v>2566</v>
      </c>
      <c r="AH294" s="10"/>
      <c r="AI294" s="10" t="s">
        <v>2567</v>
      </c>
      <c r="AJ294" s="5" t="s">
        <v>2568</v>
      </c>
      <c r="AK294" s="5"/>
      <c r="AL294" s="5"/>
      <c r="AM294" t="s">
        <v>2569</v>
      </c>
      <c r="AN294" t="s">
        <v>1176</v>
      </c>
    </row>
    <row r="295" spans="1:40" ht="15" customHeight="1">
      <c r="A295" t="s">
        <v>2570</v>
      </c>
      <c r="B295" t="s">
        <v>2571</v>
      </c>
      <c r="C295" s="3">
        <v>45992</v>
      </c>
      <c r="D295" s="3">
        <v>46030</v>
      </c>
      <c r="E295" t="s">
        <v>41</v>
      </c>
      <c r="G295" t="s">
        <v>2572</v>
      </c>
      <c r="H295" t="s">
        <v>2573</v>
      </c>
      <c r="I295" t="s">
        <v>2574</v>
      </c>
      <c r="J295" t="s">
        <v>2187</v>
      </c>
      <c r="K295" t="s">
        <v>2575</v>
      </c>
      <c r="M295" t="s">
        <v>43</v>
      </c>
      <c r="N295" t="s">
        <v>609</v>
      </c>
      <c r="O295" t="s">
        <v>2576</v>
      </c>
      <c r="R295" t="s">
        <v>320</v>
      </c>
      <c r="S295" t="s">
        <v>2577</v>
      </c>
      <c r="T295" t="s">
        <v>2578</v>
      </c>
      <c r="U295" s="5" t="s">
        <v>2579</v>
      </c>
      <c r="V295" s="5" t="s">
        <v>2580</v>
      </c>
      <c r="W295" s="5"/>
      <c r="X295" s="5"/>
      <c r="Y295" s="5"/>
      <c r="Z295" s="5"/>
      <c r="AA295" s="5"/>
      <c r="AB295" s="5"/>
      <c r="AC295" s="10" t="s">
        <v>603</v>
      </c>
      <c r="AD295" s="10" t="s">
        <v>2581</v>
      </c>
      <c r="AE295" s="10" t="s">
        <v>2582</v>
      </c>
      <c r="AF295" s="10" t="s">
        <v>2583</v>
      </c>
      <c r="AG295" s="10" t="s">
        <v>2584</v>
      </c>
      <c r="AH295" s="10" t="s">
        <v>516</v>
      </c>
      <c r="AI295" s="10" t="s">
        <v>2585</v>
      </c>
      <c r="AJ295" s="5" t="s">
        <v>2586</v>
      </c>
      <c r="AK295" s="5"/>
      <c r="AL295" s="5"/>
      <c r="AM295" t="s">
        <v>2587</v>
      </c>
      <c r="AN295" t="s">
        <v>1176</v>
      </c>
    </row>
    <row r="296" spans="1:40" ht="15" customHeight="1">
      <c r="A296" t="s">
        <v>2588</v>
      </c>
      <c r="B296" t="s">
        <v>2589</v>
      </c>
      <c r="C296" s="3">
        <v>45992</v>
      </c>
      <c r="D296" s="3">
        <v>46030</v>
      </c>
      <c r="E296" t="s">
        <v>41</v>
      </c>
      <c r="G296" t="s">
        <v>2590</v>
      </c>
      <c r="H296" t="s">
        <v>850</v>
      </c>
      <c r="I296" t="s">
        <v>48</v>
      </c>
      <c r="J296" t="s">
        <v>1711</v>
      </c>
      <c r="K296" t="s">
        <v>48</v>
      </c>
      <c r="M296" t="s">
        <v>43</v>
      </c>
      <c r="N296" t="s">
        <v>599</v>
      </c>
      <c r="O296" t="s">
        <v>571</v>
      </c>
      <c r="R296" t="s">
        <v>270</v>
      </c>
      <c r="S296" t="s">
        <v>2591</v>
      </c>
      <c r="T296" t="s">
        <v>2592</v>
      </c>
      <c r="U296" s="5" t="s">
        <v>2593</v>
      </c>
      <c r="V296" s="5" t="s">
        <v>2594</v>
      </c>
      <c r="W296" s="5"/>
      <c r="X296" s="5"/>
      <c r="Y296" s="5"/>
      <c r="Z296" s="5"/>
      <c r="AA296" s="5"/>
      <c r="AB296" s="5"/>
      <c r="AC296" s="10" t="s">
        <v>603</v>
      </c>
      <c r="AD296" s="10" t="s">
        <v>2595</v>
      </c>
      <c r="AE296" s="10" t="s">
        <v>2596</v>
      </c>
      <c r="AF296" s="10" t="s">
        <v>2597</v>
      </c>
      <c r="AG296" s="10" t="s">
        <v>2598</v>
      </c>
      <c r="AH296" s="10" t="s">
        <v>2599</v>
      </c>
      <c r="AI296" s="10" t="s">
        <v>2600</v>
      </c>
      <c r="AJ296" s="5" t="s">
        <v>2601</v>
      </c>
      <c r="AK296" s="5"/>
      <c r="AL296" s="5"/>
      <c r="AM296" t="s">
        <v>2602</v>
      </c>
      <c r="AN296" t="s">
        <v>1176</v>
      </c>
    </row>
    <row r="297" spans="1:40" ht="15" customHeight="1">
      <c r="A297" t="s">
        <v>2603</v>
      </c>
      <c r="C297" s="3">
        <v>45994</v>
      </c>
      <c r="E297" t="s">
        <v>41</v>
      </c>
      <c r="G297" t="s">
        <v>2604</v>
      </c>
      <c r="H297" t="e">
        <f>VLOOKUP(Table1[[#This Row],[Official_Defect_Name]],Sheet2!$A:$F,2,FALSE)</f>
        <v>#N/A</v>
      </c>
      <c r="K297" t="s">
        <v>496</v>
      </c>
      <c r="N297" t="s">
        <v>609</v>
      </c>
      <c r="R297" t="s">
        <v>301</v>
      </c>
      <c r="U297" s="5"/>
      <c r="V297" s="5" t="s">
        <v>2605</v>
      </c>
      <c r="W297" s="5"/>
      <c r="X297" s="5"/>
      <c r="Y297" s="5"/>
      <c r="Z297" s="5"/>
      <c r="AA297" s="5"/>
      <c r="AB297" s="5"/>
      <c r="AC297" s="10"/>
      <c r="AD297" s="10"/>
      <c r="AE297" s="10"/>
      <c r="AF297" s="10"/>
      <c r="AG297" s="10"/>
      <c r="AH297" s="10"/>
      <c r="AI297" s="10"/>
      <c r="AJ297" s="5"/>
      <c r="AK297" s="5"/>
      <c r="AL297" s="5"/>
    </row>
    <row r="298" spans="1:40" ht="15" customHeight="1">
      <c r="A298" t="s">
        <v>2606</v>
      </c>
      <c r="B298" t="s">
        <v>2607</v>
      </c>
      <c r="C298" s="3">
        <v>45994</v>
      </c>
      <c r="D298" s="3">
        <v>46020</v>
      </c>
      <c r="E298" t="s">
        <v>41</v>
      </c>
      <c r="G298" t="s">
        <v>2608</v>
      </c>
      <c r="H298" t="s">
        <v>884</v>
      </c>
      <c r="I298" t="s">
        <v>181</v>
      </c>
      <c r="J298" t="s">
        <v>1711</v>
      </c>
      <c r="K298" t="s">
        <v>181</v>
      </c>
      <c r="M298" t="s">
        <v>43</v>
      </c>
      <c r="N298" t="s">
        <v>599</v>
      </c>
      <c r="O298" t="s">
        <v>1539</v>
      </c>
      <c r="R298" t="s">
        <v>2609</v>
      </c>
      <c r="S298" t="s">
        <v>2610</v>
      </c>
      <c r="T298" t="s">
        <v>2611</v>
      </c>
      <c r="U298" s="5" t="s">
        <v>2612</v>
      </c>
      <c r="V298" s="5" t="s">
        <v>2613</v>
      </c>
      <c r="W298" s="5"/>
      <c r="X298" s="5"/>
      <c r="Y298" s="5"/>
      <c r="Z298" s="5"/>
      <c r="AA298" s="5"/>
      <c r="AB298" s="5"/>
      <c r="AC298" s="10" t="s">
        <v>603</v>
      </c>
      <c r="AD298" s="10"/>
      <c r="AE298" s="10"/>
      <c r="AF298" s="10"/>
      <c r="AG298" s="10"/>
      <c r="AH298" s="10"/>
      <c r="AI298" s="10" t="s">
        <v>604</v>
      </c>
      <c r="AJ298" s="5" t="s">
        <v>2601</v>
      </c>
      <c r="AK298" s="5"/>
      <c r="AL298" s="5"/>
      <c r="AM298" t="s">
        <v>2614</v>
      </c>
      <c r="AN298" t="s">
        <v>1176</v>
      </c>
    </row>
    <row r="299" spans="1:40" ht="15" customHeight="1">
      <c r="A299" t="s">
        <v>2615</v>
      </c>
      <c r="C299" s="3">
        <v>45996</v>
      </c>
      <c r="E299" t="s">
        <v>47</v>
      </c>
      <c r="G299" t="s">
        <v>2616</v>
      </c>
      <c r="H299" t="e">
        <f>VLOOKUP(Table1[[#This Row],[Official_Defect_Name]],Sheet2!$A:$F,2,FALSE)</f>
        <v>#N/A</v>
      </c>
      <c r="K299" t="s">
        <v>435</v>
      </c>
      <c r="N299" t="s">
        <v>609</v>
      </c>
      <c r="R299" t="s">
        <v>320</v>
      </c>
      <c r="U299" s="5"/>
      <c r="V299" s="5" t="s">
        <v>2617</v>
      </c>
      <c r="W299" s="5"/>
      <c r="X299" s="5"/>
      <c r="Y299" s="5"/>
      <c r="Z299" s="5"/>
      <c r="AA299" s="5"/>
      <c r="AB299" s="5"/>
      <c r="AC299" s="10"/>
      <c r="AD299" s="10"/>
      <c r="AE299" s="10"/>
      <c r="AF299" s="10"/>
      <c r="AG299" s="10"/>
      <c r="AH299" s="10"/>
      <c r="AI299" s="10"/>
      <c r="AJ299" s="5"/>
      <c r="AK299" s="5"/>
      <c r="AL299" s="5"/>
    </row>
    <row r="300" spans="1:40" ht="15" customHeight="1">
      <c r="A300" t="s">
        <v>2618</v>
      </c>
      <c r="C300" s="3">
        <v>46002</v>
      </c>
      <c r="E300" t="s">
        <v>41</v>
      </c>
      <c r="G300" t="s">
        <v>2619</v>
      </c>
      <c r="H300" t="e">
        <f>VLOOKUP(Table1[[#This Row],[Official_Defect_Name]],Sheet2!$A:$F,2,FALSE)</f>
        <v>#N/A</v>
      </c>
      <c r="K300" t="s">
        <v>125</v>
      </c>
      <c r="N300" t="s">
        <v>609</v>
      </c>
      <c r="R300" t="s">
        <v>320</v>
      </c>
      <c r="U300" s="5"/>
      <c r="V300" s="5" t="s">
        <v>2620</v>
      </c>
      <c r="W300" s="5"/>
      <c r="X300" s="5"/>
      <c r="Y300" s="5"/>
      <c r="Z300" s="5"/>
      <c r="AA300" s="5"/>
      <c r="AB300" s="5"/>
      <c r="AC300" s="10"/>
      <c r="AD300" s="10"/>
      <c r="AE300" s="10"/>
      <c r="AF300" s="10"/>
      <c r="AG300" s="10"/>
      <c r="AH300" s="10"/>
      <c r="AI300" s="10"/>
      <c r="AJ300" s="5"/>
      <c r="AK300" s="5"/>
      <c r="AL300" s="5"/>
    </row>
    <row r="301" spans="1:40" ht="15" customHeight="1">
      <c r="A301" t="s">
        <v>2621</v>
      </c>
      <c r="B301" t="s">
        <v>2622</v>
      </c>
      <c r="C301" s="3">
        <v>46003</v>
      </c>
      <c r="D301" s="3">
        <v>46003</v>
      </c>
      <c r="E301" t="s">
        <v>47</v>
      </c>
      <c r="G301" t="s">
        <v>2623</v>
      </c>
      <c r="H301" t="s">
        <v>884</v>
      </c>
      <c r="I301" t="s">
        <v>181</v>
      </c>
      <c r="J301" t="s">
        <v>1711</v>
      </c>
      <c r="K301" t="s">
        <v>48</v>
      </c>
      <c r="M301" t="s">
        <v>43</v>
      </c>
      <c r="N301" t="s">
        <v>599</v>
      </c>
      <c r="O301" t="s">
        <v>571</v>
      </c>
      <c r="R301" t="s">
        <v>52</v>
      </c>
      <c r="S301" t="s">
        <v>2624</v>
      </c>
      <c r="T301" t="s">
        <v>2625</v>
      </c>
      <c r="U301" s="5" t="s">
        <v>2626</v>
      </c>
      <c r="V301" s="5" t="s">
        <v>2627</v>
      </c>
      <c r="W301" s="5"/>
      <c r="X301" s="5"/>
      <c r="Y301" s="5"/>
      <c r="Z301" s="5"/>
      <c r="AA301" s="5"/>
      <c r="AB301" s="5"/>
      <c r="AC301" s="10" t="s">
        <v>603</v>
      </c>
      <c r="AD301" s="10"/>
      <c r="AE301" s="10"/>
      <c r="AF301" s="10"/>
      <c r="AG301" s="10"/>
      <c r="AH301" s="10"/>
      <c r="AI301" s="10" t="s">
        <v>604</v>
      </c>
      <c r="AJ301" s="5" t="s">
        <v>2628</v>
      </c>
      <c r="AK301" s="5"/>
      <c r="AL301" s="5"/>
      <c r="AM301" t="s">
        <v>2629</v>
      </c>
      <c r="AN301" t="s">
        <v>1176</v>
      </c>
    </row>
    <row r="302" spans="1:40" ht="15" customHeight="1">
      <c r="A302" t="s">
        <v>2630</v>
      </c>
      <c r="C302" s="3">
        <v>46007</v>
      </c>
      <c r="E302" t="s">
        <v>41</v>
      </c>
      <c r="G302" t="s">
        <v>2631</v>
      </c>
      <c r="H302" t="e">
        <f>VLOOKUP(Table1[[#This Row],[Official_Defect_Name]],Sheet2!$A:$F,2,FALSE)</f>
        <v>#N/A</v>
      </c>
      <c r="K302" t="s">
        <v>2632</v>
      </c>
      <c r="N302" t="s">
        <v>632</v>
      </c>
      <c r="R302" t="s">
        <v>2633</v>
      </c>
      <c r="U302" s="5"/>
      <c r="V302" s="5" t="s">
        <v>2634</v>
      </c>
      <c r="W302" s="5"/>
      <c r="X302" s="5"/>
      <c r="Y302" s="5"/>
      <c r="Z302" s="5"/>
      <c r="AA302" s="5"/>
      <c r="AB302" s="5"/>
      <c r="AC302" s="10"/>
      <c r="AD302" s="10"/>
      <c r="AE302" s="10"/>
      <c r="AF302" s="10"/>
      <c r="AG302" s="10"/>
      <c r="AH302" s="10"/>
      <c r="AI302" s="10"/>
      <c r="AJ302" s="5"/>
      <c r="AK302" s="5"/>
      <c r="AL302" s="5"/>
    </row>
    <row r="303" spans="1:40" ht="15" customHeight="1">
      <c r="A303" t="s">
        <v>2635</v>
      </c>
      <c r="C303" s="3">
        <v>46007</v>
      </c>
      <c r="E303" t="s">
        <v>41</v>
      </c>
      <c r="G303" t="s">
        <v>2631</v>
      </c>
      <c r="H303" t="e">
        <f>VLOOKUP(Table1[[#This Row],[Official_Defect_Name]],Sheet2!$A:$F,2,FALSE)</f>
        <v>#N/A</v>
      </c>
      <c r="K303" t="s">
        <v>2632</v>
      </c>
      <c r="N303" t="s">
        <v>632</v>
      </c>
      <c r="R303" t="s">
        <v>2633</v>
      </c>
      <c r="U303" s="5"/>
      <c r="V303" s="5"/>
      <c r="W303" s="5"/>
      <c r="X303" s="5"/>
      <c r="Y303" s="5"/>
      <c r="Z303" s="5"/>
      <c r="AA303" s="5"/>
      <c r="AB303" s="5"/>
      <c r="AC303" s="10"/>
      <c r="AD303" s="10"/>
      <c r="AE303" s="10"/>
      <c r="AF303" s="10"/>
      <c r="AG303" s="10"/>
      <c r="AH303" s="10"/>
      <c r="AI303" s="10"/>
      <c r="AJ303" s="5"/>
      <c r="AK303" s="5"/>
      <c r="AL303" s="5"/>
    </row>
    <row r="304" spans="1:40" ht="15" customHeight="1">
      <c r="A304" t="s">
        <v>2636</v>
      </c>
      <c r="C304" s="3">
        <v>46008</v>
      </c>
      <c r="E304" t="s">
        <v>41</v>
      </c>
      <c r="G304" t="s">
        <v>2637</v>
      </c>
      <c r="H304" t="e">
        <f>VLOOKUP(Table1[[#This Row],[Official_Defect_Name]],Sheet2!$A:$F,2,FALSE)</f>
        <v>#N/A</v>
      </c>
      <c r="K304" t="s">
        <v>496</v>
      </c>
      <c r="N304" t="s">
        <v>609</v>
      </c>
      <c r="R304" t="s">
        <v>301</v>
      </c>
      <c r="U304" s="5"/>
      <c r="V304" s="5" t="s">
        <v>2638</v>
      </c>
      <c r="W304" s="5"/>
      <c r="X304" s="5"/>
      <c r="Y304" s="5"/>
      <c r="Z304" s="5"/>
      <c r="AA304" s="5"/>
      <c r="AB304" s="5"/>
      <c r="AC304" s="10"/>
      <c r="AD304" s="10"/>
      <c r="AE304" s="10"/>
      <c r="AF304" s="10"/>
      <c r="AG304" s="10"/>
      <c r="AH304" s="10"/>
      <c r="AI304" s="10"/>
      <c r="AJ304" s="5"/>
      <c r="AK304" s="5"/>
      <c r="AL304" s="5"/>
    </row>
    <row r="305" spans="1:38" ht="15" customHeight="1">
      <c r="A305" t="s">
        <v>2639</v>
      </c>
      <c r="C305" s="3">
        <v>46010</v>
      </c>
      <c r="E305" t="s">
        <v>457</v>
      </c>
      <c r="G305" t="s">
        <v>2640</v>
      </c>
      <c r="H305" t="e">
        <f>VLOOKUP(Table1[[#This Row],[Official_Defect_Name]],Sheet2!$A:$F,2,FALSE)</f>
        <v>#N/A</v>
      </c>
      <c r="K305" t="s">
        <v>496</v>
      </c>
      <c r="N305" t="s">
        <v>609</v>
      </c>
      <c r="R305" t="s">
        <v>2641</v>
      </c>
      <c r="U305" s="5"/>
      <c r="V305" s="5" t="s">
        <v>2642</v>
      </c>
      <c r="W305" s="5"/>
      <c r="X305" s="5"/>
      <c r="Y305" s="5"/>
      <c r="Z305" s="5"/>
      <c r="AA305" s="5"/>
      <c r="AB305" s="5"/>
      <c r="AC305" s="10"/>
      <c r="AD305" s="10"/>
      <c r="AE305" s="10"/>
      <c r="AF305" s="10"/>
      <c r="AG305" s="10"/>
      <c r="AH305" s="10"/>
      <c r="AI305" s="10"/>
      <c r="AJ305" s="5"/>
      <c r="AK305" s="5"/>
      <c r="AL305" s="5"/>
    </row>
    <row r="306" spans="1:38" ht="15" customHeight="1">
      <c r="A306" t="s">
        <v>2643</v>
      </c>
      <c r="C306" s="3">
        <v>46010</v>
      </c>
      <c r="E306" t="s">
        <v>47</v>
      </c>
      <c r="G306" t="s">
        <v>2644</v>
      </c>
      <c r="H306" t="e">
        <f>VLOOKUP(Table1[[#This Row],[Official_Defect_Name]],Sheet2!$A:$F,2,FALSE)</f>
        <v>#N/A</v>
      </c>
      <c r="K306" t="s">
        <v>496</v>
      </c>
      <c r="N306" t="s">
        <v>609</v>
      </c>
      <c r="R306" t="s">
        <v>301</v>
      </c>
      <c r="U306" s="5"/>
      <c r="V306" s="5" t="s">
        <v>2645</v>
      </c>
      <c r="W306" s="5"/>
      <c r="X306" s="5"/>
      <c r="Y306" s="5"/>
      <c r="Z306" s="5"/>
      <c r="AA306" s="5"/>
      <c r="AB306" s="5"/>
      <c r="AC306" s="10"/>
      <c r="AD306" s="10"/>
      <c r="AE306" s="10"/>
      <c r="AF306" s="10"/>
      <c r="AG306" s="10"/>
      <c r="AH306" s="10"/>
      <c r="AI306" s="10"/>
      <c r="AJ306" s="5"/>
      <c r="AK306" s="5"/>
      <c r="AL306" s="5"/>
    </row>
  </sheetData>
  <phoneticPr fontId="2" type="noConversion"/>
  <hyperlinks>
    <hyperlink ref="U6" r:id="rId1" xr:uid="{174CDEE9-268B-4C29-B675-906661D726E4}"/>
    <hyperlink ref="U7" r:id="rId2" xr:uid="{2B04011D-B956-469B-82C1-CC1A45256E0D}"/>
    <hyperlink ref="U64" r:id="rId3" xr:uid="{0B643DDA-FEA7-4C32-AB77-12763763E1BF}"/>
    <hyperlink ref="U26" r:id="rId4" xr:uid="{D8EE58B2-71A4-4D1B-AB07-6C543DA0CF7C}"/>
    <hyperlink ref="U40" r:id="rId5" xr:uid="{8D39149F-3631-4B4E-BF32-A8CAE71233A6}"/>
    <hyperlink ref="U45" r:id="rId6" xr:uid="{D414385F-73D7-4D3F-92E1-B51045B57751}"/>
    <hyperlink ref="U10" r:id="rId7" xr:uid="{F344887C-6507-4BF1-BD8D-70259D1DE731}"/>
    <hyperlink ref="U207" r:id="rId8" xr:uid="{A934F840-9D4D-449F-81A0-79E06136378D}"/>
    <hyperlink ref="U196" r:id="rId9" xr:uid="{8EDE084A-8C91-4CE6-B4C6-EADCF314E3E1}"/>
    <hyperlink ref="U292" r:id="rId10" xr:uid="{80FD6C82-19E7-4EB2-958D-E8F108D21EDF}"/>
    <hyperlink ref="U12" r:id="rId11" xr:uid="{391DC70C-2E21-419E-9E40-D40001F1E6D8}"/>
  </hyperlinks>
  <pageMargins left="0.7" right="0.7" top="0.75" bottom="0.75" header="0.3" footer="0.3"/>
  <headerFooter>
    <oddFooter>&amp;L_x000D_&amp;1#&amp;"Calibri"&amp;10&amp;K000000 Internal</oddFooter>
  </headerFooter>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8E06-DEF2-4AC9-B163-E823F566C4BF}">
  <dimension ref="A1:G46"/>
  <sheetViews>
    <sheetView workbookViewId="0">
      <selection activeCell="O14" sqref="O14"/>
    </sheetView>
  </sheetViews>
  <sheetFormatPr defaultRowHeight="14.45"/>
  <cols>
    <col min="1" max="1" width="29.42578125" customWidth="1"/>
    <col min="2" max="2" width="10.28515625" bestFit="1" customWidth="1"/>
    <col min="3" max="3" width="11.7109375" bestFit="1" customWidth="1"/>
    <col min="4" max="4" width="13.42578125" bestFit="1" customWidth="1"/>
    <col min="5" max="5" width="13.42578125" customWidth="1"/>
    <col min="6" max="6" width="10.5703125" bestFit="1" customWidth="1"/>
  </cols>
  <sheetData>
    <row r="1" spans="1:7">
      <c r="A1" s="6" t="s">
        <v>2646</v>
      </c>
      <c r="B1" s="6" t="s">
        <v>7</v>
      </c>
      <c r="C1" t="s">
        <v>2647</v>
      </c>
      <c r="D1" s="7" t="s">
        <v>2648</v>
      </c>
      <c r="E1" s="7" t="s">
        <v>2649</v>
      </c>
      <c r="F1" t="s">
        <v>2650</v>
      </c>
      <c r="G1">
        <f>SUM(C:C)</f>
        <v>251</v>
      </c>
    </row>
    <row r="2" spans="1:7">
      <c r="A2" s="6" t="s">
        <v>48</v>
      </c>
      <c r="B2" s="6" t="s">
        <v>850</v>
      </c>
      <c r="C2">
        <f>COUNTIF(Table1[Def_ID],B2)</f>
        <v>29</v>
      </c>
      <c r="D2" s="7">
        <f>C2/$G$1</f>
        <v>0.11553784860557768</v>
      </c>
      <c r="E2" s="7" t="s">
        <v>2651</v>
      </c>
      <c r="F2" t="str">
        <f>IF(AND(D2&gt;3%,D2&lt;10%),"High",IF(D2&gt;10%,"Critical","Low"))</f>
        <v>Critical</v>
      </c>
    </row>
    <row r="3" spans="1:7">
      <c r="A3" s="6" t="s">
        <v>252</v>
      </c>
      <c r="B3" s="6" t="s">
        <v>787</v>
      </c>
      <c r="C3">
        <f>COUNTIF(Table1[Def_ID],B3)</f>
        <v>23</v>
      </c>
      <c r="D3" s="7">
        <f>C3/$G$1</f>
        <v>9.1633466135458169E-2</v>
      </c>
      <c r="E3" s="7"/>
      <c r="F3" t="str">
        <f>IF(AND(D3&gt;3%,D3&lt;10%),"High",IF(D3&gt;10%,"Critical","Low"))</f>
        <v>High</v>
      </c>
    </row>
    <row r="4" spans="1:7">
      <c r="A4" s="6" t="s">
        <v>109</v>
      </c>
      <c r="B4" s="6" t="s">
        <v>779</v>
      </c>
      <c r="C4">
        <f>COUNTIF(Table1[Def_ID],B4)</f>
        <v>19</v>
      </c>
      <c r="D4" s="7">
        <f>C4/$G$1</f>
        <v>7.5697211155378488E-2</v>
      </c>
      <c r="E4" s="7"/>
      <c r="F4" t="str">
        <f>IF(AND(D4&gt;3%,D4&lt;10%),"High",IF(D4&gt;10%,"Critical","Low"))</f>
        <v>High</v>
      </c>
    </row>
    <row r="5" spans="1:7">
      <c r="A5" s="6" t="s">
        <v>65</v>
      </c>
      <c r="B5" s="6" t="s">
        <v>904</v>
      </c>
      <c r="C5">
        <f>COUNTIF(Table1[Def_ID],B5)</f>
        <v>19</v>
      </c>
      <c r="D5" s="7">
        <f>C5/$G$1</f>
        <v>7.5697211155378488E-2</v>
      </c>
      <c r="E5" s="7"/>
      <c r="F5" t="str">
        <f>IF(AND(D5&gt;3%,D5&lt;10%),"High",IF(D5&gt;10%,"Critical","Low"))</f>
        <v>High</v>
      </c>
    </row>
    <row r="6" spans="1:7">
      <c r="A6" s="6" t="s">
        <v>181</v>
      </c>
      <c r="B6" s="6" t="s">
        <v>884</v>
      </c>
      <c r="C6">
        <f>COUNTIF(Table1[Def_ID],B6)</f>
        <v>17</v>
      </c>
      <c r="D6" s="7">
        <f>C6/$G$1</f>
        <v>6.7729083665338641E-2</v>
      </c>
      <c r="E6" s="7"/>
      <c r="F6" t="str">
        <f>IF(AND(D6&gt;3%,D6&lt;10%),"High",IF(D6&gt;10%,"Critical","Low"))</f>
        <v>High</v>
      </c>
    </row>
    <row r="7" spans="1:7">
      <c r="A7" s="6" t="s">
        <v>159</v>
      </c>
      <c r="B7" s="6" t="s">
        <v>873</v>
      </c>
      <c r="C7">
        <f>COUNTIF(Table1[Def_ID],B7)</f>
        <v>13</v>
      </c>
      <c r="D7" s="7">
        <f>C7/$G$1</f>
        <v>5.1792828685258967E-2</v>
      </c>
      <c r="E7" s="7"/>
      <c r="F7" t="str">
        <f>IF(AND(D7&gt;3%,D7&lt;10%),"High",IF(D7&gt;10%,"Critical","Low"))</f>
        <v>High</v>
      </c>
    </row>
    <row r="8" spans="1:7">
      <c r="A8" s="6" t="s">
        <v>42</v>
      </c>
      <c r="B8" s="6" t="s">
        <v>2017</v>
      </c>
      <c r="C8">
        <f>COUNTIF(Table1[Def_ID],B8)</f>
        <v>11</v>
      </c>
      <c r="D8" s="7">
        <f>C8/$G$1</f>
        <v>4.3824701195219126E-2</v>
      </c>
      <c r="E8" s="7" t="s">
        <v>2652</v>
      </c>
      <c r="F8" t="str">
        <f>IF(AND(D8&gt;3%,D8&lt;10%),"High",IF(D8&gt;10%,"Critical","Low"))</f>
        <v>High</v>
      </c>
    </row>
    <row r="9" spans="1:7">
      <c r="A9" s="6" t="s">
        <v>243</v>
      </c>
      <c r="B9" s="6" t="s">
        <v>2069</v>
      </c>
      <c r="C9">
        <f>COUNTIF(Table1[Def_ID],B9)</f>
        <v>10</v>
      </c>
      <c r="D9" s="7">
        <f>C9/$G$1</f>
        <v>3.9840637450199202E-2</v>
      </c>
      <c r="E9" s="7"/>
      <c r="F9" t="str">
        <f>IF(AND(D9&gt;3%,D9&lt;10%),"High",IF(D9&gt;10%,"Critical","Low"))</f>
        <v>High</v>
      </c>
    </row>
    <row r="10" spans="1:7">
      <c r="A10" s="6" t="s">
        <v>125</v>
      </c>
      <c r="B10" s="6" t="s">
        <v>1354</v>
      </c>
      <c r="C10">
        <f>COUNTIF(Table1[Def_ID],B10)</f>
        <v>10</v>
      </c>
      <c r="D10" s="7">
        <f>C10/$G$1</f>
        <v>3.9840637450199202E-2</v>
      </c>
      <c r="E10" s="7"/>
      <c r="F10" t="str">
        <f>IF(AND(D10&gt;3%,D10&lt;10%),"High",IF(D10&gt;10%,"Critical","Low"))</f>
        <v>High</v>
      </c>
    </row>
    <row r="11" spans="1:7">
      <c r="A11" s="6" t="s">
        <v>1045</v>
      </c>
      <c r="B11" s="6" t="s">
        <v>826</v>
      </c>
      <c r="C11">
        <f>COUNTIF(Table1[Def_ID],B11)</f>
        <v>9</v>
      </c>
      <c r="D11" s="7">
        <f>C11/$G$1</f>
        <v>3.5856573705179286E-2</v>
      </c>
      <c r="E11" s="7"/>
      <c r="F11" t="str">
        <f>IF(AND(D11&gt;3%,D11&lt;10%),"High",IF(D11&gt;10%,"Critical","Low"))</f>
        <v>High</v>
      </c>
    </row>
    <row r="12" spans="1:7">
      <c r="A12" s="6" t="s">
        <v>449</v>
      </c>
      <c r="B12" s="6" t="s">
        <v>1648</v>
      </c>
      <c r="C12">
        <f>COUNTIF(Table1[Def_ID],B12)</f>
        <v>8</v>
      </c>
      <c r="D12" s="7">
        <f>C12/$G$1</f>
        <v>3.1872509960159362E-2</v>
      </c>
      <c r="E12" s="7"/>
      <c r="F12" t="str">
        <f>IF(AND(D12&gt;3%,D12&lt;10%),"High",IF(D12&gt;10%,"Critical","Low"))</f>
        <v>High</v>
      </c>
    </row>
    <row r="13" spans="1:7">
      <c r="A13" s="6" t="s">
        <v>233</v>
      </c>
      <c r="B13" s="6" t="s">
        <v>838</v>
      </c>
      <c r="C13">
        <f>COUNTIF(Table1[Def_ID],B13)</f>
        <v>8</v>
      </c>
      <c r="D13" s="7">
        <f>C13/$G$1</f>
        <v>3.1872509960159362E-2</v>
      </c>
      <c r="E13" s="7"/>
      <c r="F13" t="str">
        <f>IF(AND(D13&gt;3%,D13&lt;10%),"High",IF(D13&gt;10%,"Critical","Low"))</f>
        <v>High</v>
      </c>
    </row>
    <row r="14" spans="1:7">
      <c r="A14" s="6" t="s">
        <v>352</v>
      </c>
      <c r="B14" s="6" t="s">
        <v>1234</v>
      </c>
      <c r="C14">
        <f>COUNTIF(Table1[Def_ID],B14)</f>
        <v>8</v>
      </c>
      <c r="D14" s="7">
        <f>C14/$G$1</f>
        <v>3.1872509960159362E-2</v>
      </c>
      <c r="E14" s="7"/>
      <c r="F14" t="str">
        <f>IF(AND(D14&gt;3%,D14&lt;10%),"High",IF(D14&gt;10%,"Critical","Low"))</f>
        <v>High</v>
      </c>
    </row>
    <row r="15" spans="1:7">
      <c r="A15" s="6" t="s">
        <v>141</v>
      </c>
      <c r="B15" s="6" t="s">
        <v>1197</v>
      </c>
      <c r="C15">
        <f>COUNTIF(Table1[Def_ID],B15)</f>
        <v>7</v>
      </c>
      <c r="D15" s="7">
        <f>C15/$G$1</f>
        <v>2.7888446215139442E-2</v>
      </c>
      <c r="E15" s="7"/>
      <c r="F15" t="str">
        <f>IF(AND(D15&gt;3%,D15&lt;10%),"High",IF(D15&gt;10%,"Critical","Low"))</f>
        <v>Low</v>
      </c>
    </row>
    <row r="16" spans="1:7">
      <c r="A16" s="6" t="s">
        <v>169</v>
      </c>
      <c r="B16" s="6" t="s">
        <v>942</v>
      </c>
      <c r="C16">
        <f>COUNTIF(Table1[Def_ID],B16)</f>
        <v>7</v>
      </c>
      <c r="D16" s="7">
        <f>C16/$G$1</f>
        <v>2.7888446215139442E-2</v>
      </c>
      <c r="E16" s="7"/>
      <c r="F16" t="str">
        <f>IF(AND(D16&gt;3%,D16&lt;10%),"High",IF(D16&gt;10%,"Critical","Low"))</f>
        <v>Low</v>
      </c>
    </row>
    <row r="17" spans="1:6">
      <c r="A17" s="6" t="s">
        <v>54</v>
      </c>
      <c r="B17" s="6" t="s">
        <v>1092</v>
      </c>
      <c r="C17">
        <f>COUNTIF(Table1[Def_ID],B17)</f>
        <v>7</v>
      </c>
      <c r="D17" s="7">
        <f>C17/$G$1</f>
        <v>2.7888446215139442E-2</v>
      </c>
      <c r="E17" s="7"/>
      <c r="F17" t="str">
        <f>IF(AND(D17&gt;3%,D17&lt;10%),"High",IF(D17&gt;10%,"Critical","Low"))</f>
        <v>Low</v>
      </c>
    </row>
    <row r="18" spans="1:6">
      <c r="A18" s="6" t="s">
        <v>435</v>
      </c>
      <c r="B18" s="6" t="s">
        <v>1370</v>
      </c>
      <c r="C18">
        <f>COUNTIF(Table1[Def_ID],B18)</f>
        <v>6</v>
      </c>
      <c r="D18" s="7">
        <f>C18/$G$1</f>
        <v>2.3904382470119521E-2</v>
      </c>
      <c r="E18" s="7"/>
      <c r="F18" t="str">
        <f>IF(AND(D18&gt;3%,D18&lt;10%),"High",IF(D18&gt;10%,"Critical","Low"))</f>
        <v>Low</v>
      </c>
    </row>
    <row r="19" spans="1:6">
      <c r="A19" s="6" t="s">
        <v>335</v>
      </c>
      <c r="B19" s="6" t="s">
        <v>2653</v>
      </c>
      <c r="C19">
        <f>COUNTIF(Table1[Def_ID],B19)</f>
        <v>4</v>
      </c>
      <c r="D19" s="7">
        <f>C19/$G$1</f>
        <v>1.5936254980079681E-2</v>
      </c>
      <c r="E19" s="7"/>
      <c r="F19" t="str">
        <f>IF(AND(D19&gt;3%,D19&lt;10%),"High",IF(D19&gt;10%,"Critical","Low"))</f>
        <v>Low</v>
      </c>
    </row>
    <row r="20" spans="1:6">
      <c r="A20" s="6" t="s">
        <v>374</v>
      </c>
      <c r="B20" s="6" t="s">
        <v>2028</v>
      </c>
      <c r="C20">
        <f>COUNTIF(Table1[Def_ID],B20)</f>
        <v>4</v>
      </c>
      <c r="D20" s="7">
        <f>C20/$G$1</f>
        <v>1.5936254980079681E-2</v>
      </c>
      <c r="E20" s="7"/>
      <c r="F20" t="str">
        <f>IF(AND(D20&gt;3%,D20&lt;10%),"High",IF(D20&gt;10%,"Critical","Low"))</f>
        <v>Low</v>
      </c>
    </row>
    <row r="21" spans="1:6">
      <c r="A21" s="6" t="s">
        <v>658</v>
      </c>
      <c r="B21" s="6" t="s">
        <v>734</v>
      </c>
      <c r="C21">
        <f>COUNTIF(Table1[Def_ID],B21)</f>
        <v>4</v>
      </c>
      <c r="D21" s="7">
        <f>C21/$G$1</f>
        <v>1.5936254980079681E-2</v>
      </c>
      <c r="E21" s="7"/>
      <c r="F21" t="str">
        <f>IF(AND(D21&gt;3%,D21&lt;10%),"High",IF(D21&gt;10%,"Critical","Low"))</f>
        <v>Low</v>
      </c>
    </row>
    <row r="22" spans="1:6">
      <c r="A22" s="6" t="s">
        <v>190</v>
      </c>
      <c r="B22" s="6" t="s">
        <v>981</v>
      </c>
      <c r="C22">
        <f>COUNTIF(Table1[Def_ID],B22)</f>
        <v>3</v>
      </c>
      <c r="D22" s="7">
        <f>C22/$G$1</f>
        <v>1.1952191235059761E-2</v>
      </c>
      <c r="E22" s="7"/>
      <c r="F22" t="str">
        <f>IF(AND(D22&gt;3%,D22&lt;10%),"High",IF(D22&gt;10%,"Critical","Low"))</f>
        <v>Low</v>
      </c>
    </row>
    <row r="23" spans="1:6">
      <c r="A23" s="6" t="s">
        <v>496</v>
      </c>
      <c r="B23" s="6" t="s">
        <v>794</v>
      </c>
      <c r="C23">
        <f>COUNTIF(Table1[Def_ID],B23)</f>
        <v>3</v>
      </c>
      <c r="D23" s="7">
        <f>C23/$G$1</f>
        <v>1.1952191235059761E-2</v>
      </c>
      <c r="E23" s="7"/>
      <c r="F23" t="str">
        <f>IF(AND(D23&gt;3%,D23&lt;10%),"High",IF(D23&gt;10%,"Critical","Low"))</f>
        <v>Low</v>
      </c>
    </row>
    <row r="24" spans="1:6">
      <c r="A24" s="6" t="s">
        <v>225</v>
      </c>
      <c r="B24" s="6" t="s">
        <v>2654</v>
      </c>
      <c r="C24">
        <f>COUNTIF(Table1[Def_ID],B24)</f>
        <v>2</v>
      </c>
      <c r="D24" s="7">
        <f>C24/$G$1</f>
        <v>7.9681274900398405E-3</v>
      </c>
      <c r="E24" s="7"/>
      <c r="F24" t="str">
        <f>IF(AND(D24&gt;3%,D24&lt;10%),"High",IF(D24&gt;10%,"Critical","Low"))</f>
        <v>Low</v>
      </c>
    </row>
    <row r="25" spans="1:6">
      <c r="A25" s="6" t="s">
        <v>519</v>
      </c>
      <c r="B25" s="6" t="s">
        <v>1500</v>
      </c>
      <c r="C25">
        <f>COUNTIF(Table1[Def_ID],B25)</f>
        <v>2</v>
      </c>
      <c r="D25" s="7">
        <f>C25/$G$1</f>
        <v>7.9681274900398405E-3</v>
      </c>
      <c r="E25" s="7"/>
      <c r="F25" t="str">
        <f>IF(AND(D25&gt;3%,D25&lt;10%),"High",IF(D25&gt;10%,"Critical","Low"))</f>
        <v>Low</v>
      </c>
    </row>
    <row r="26" spans="1:6">
      <c r="A26" s="6" t="s">
        <v>150</v>
      </c>
      <c r="B26" s="6" t="s">
        <v>1617</v>
      </c>
      <c r="C26">
        <f>COUNTIF(Table1[Def_ID],B26)</f>
        <v>2</v>
      </c>
      <c r="D26" s="7">
        <f>C26/$G$1</f>
        <v>7.9681274900398405E-3</v>
      </c>
      <c r="E26" s="7"/>
      <c r="F26" t="str">
        <f>IF(AND(D26&gt;3%,D26&lt;10%),"High",IF(D26&gt;10%,"Critical","Low"))</f>
        <v>Low</v>
      </c>
    </row>
    <row r="27" spans="1:6">
      <c r="A27" s="6" t="s">
        <v>57</v>
      </c>
      <c r="B27" s="6" t="s">
        <v>1530</v>
      </c>
      <c r="C27">
        <f>COUNTIF(Table1[Def_ID],B27)</f>
        <v>2</v>
      </c>
      <c r="D27" s="7">
        <f>C27/$G$1</f>
        <v>7.9681274900398405E-3</v>
      </c>
      <c r="E27" s="7"/>
      <c r="F27" t="str">
        <f>IF(AND(D27&gt;3%,D27&lt;10%),"High",IF(D27&gt;10%,"Critical","Low"))</f>
        <v>Low</v>
      </c>
    </row>
    <row r="28" spans="1:6">
      <c r="A28" s="6" t="s">
        <v>86</v>
      </c>
      <c r="B28" s="6" t="s">
        <v>1814</v>
      </c>
      <c r="C28">
        <f>COUNTIF(Table1[Def_ID],B28)</f>
        <v>2</v>
      </c>
      <c r="D28" s="7">
        <f>C28/$G$1</f>
        <v>7.9681274900398405E-3</v>
      </c>
      <c r="E28" s="7"/>
      <c r="F28" t="str">
        <f>IF(AND(D28&gt;3%,D28&lt;10%),"High",IF(D28&gt;10%,"Critical","Low"))</f>
        <v>Low</v>
      </c>
    </row>
    <row r="29" spans="1:6">
      <c r="A29" s="6" t="s">
        <v>2244</v>
      </c>
      <c r="B29" s="6" t="s">
        <v>744</v>
      </c>
      <c r="C29">
        <f>COUNTIF(Table1[Def_ID],B29)</f>
        <v>2</v>
      </c>
      <c r="D29" s="7">
        <f>C29/$G$1</f>
        <v>7.9681274900398405E-3</v>
      </c>
      <c r="E29" s="7"/>
      <c r="F29" t="str">
        <f>IF(AND(D29&gt;3%,D29&lt;10%),"High",IF(D29&gt;10%,"Critical","Low"))</f>
        <v>Low</v>
      </c>
    </row>
    <row r="30" spans="1:6">
      <c r="A30" s="6" t="s">
        <v>1946</v>
      </c>
      <c r="B30" s="6" t="s">
        <v>1945</v>
      </c>
      <c r="C30">
        <f>COUNTIF(Table1[Def_ID],B30)</f>
        <v>1</v>
      </c>
      <c r="D30" s="7">
        <f>C30/$G$1</f>
        <v>3.9840637450199202E-3</v>
      </c>
      <c r="E30" s="7"/>
      <c r="F30" t="str">
        <f>IF(AND(D30&gt;3%,D30&lt;10%),"High",IF(D30&gt;10%,"Critical","Low"))</f>
        <v>Low</v>
      </c>
    </row>
    <row r="31" spans="1:6">
      <c r="A31" s="6" t="s">
        <v>199</v>
      </c>
      <c r="B31" s="6" t="s">
        <v>2655</v>
      </c>
      <c r="C31">
        <f>COUNTIF(Table1[Def_ID],B31)</f>
        <v>1</v>
      </c>
      <c r="D31" s="7">
        <f>C31/$G$1</f>
        <v>3.9840637450199202E-3</v>
      </c>
      <c r="E31" s="7"/>
      <c r="F31" t="str">
        <f>IF(AND(D31&gt;3%,D31&lt;10%),"High",IF(D31&gt;10%,"Critical","Low"))</f>
        <v>Low</v>
      </c>
    </row>
    <row r="32" spans="1:6">
      <c r="A32" s="6" t="s">
        <v>427</v>
      </c>
      <c r="B32" s="6" t="s">
        <v>2656</v>
      </c>
      <c r="C32">
        <f>COUNTIF(Table1[Def_ID],B32)</f>
        <v>1</v>
      </c>
      <c r="D32" s="7">
        <f>C32/$G$1</f>
        <v>3.9840637450199202E-3</v>
      </c>
      <c r="E32" s="7"/>
      <c r="F32" t="str">
        <f>IF(AND(D32&gt;3%,D32&lt;10%),"High",IF(D32&gt;10%,"Critical","Low"))</f>
        <v>Low</v>
      </c>
    </row>
    <row r="33" spans="1:6">
      <c r="A33" s="6" t="s">
        <v>76</v>
      </c>
      <c r="B33" s="6" t="s">
        <v>2657</v>
      </c>
      <c r="C33">
        <f>COUNTIF(Table1[Def_ID],B33)</f>
        <v>1</v>
      </c>
      <c r="D33" s="7">
        <f>C33/$G$1</f>
        <v>3.9840637450199202E-3</v>
      </c>
      <c r="E33" s="7"/>
      <c r="F33" t="str">
        <f>IF(AND(D33&gt;3%,D33&lt;10%),"High",IF(D33&gt;10%,"Critical","Low"))</f>
        <v>Low</v>
      </c>
    </row>
    <row r="34" spans="1:6">
      <c r="A34" s="6" t="s">
        <v>588</v>
      </c>
      <c r="B34" s="6" t="s">
        <v>2658</v>
      </c>
      <c r="C34">
        <f>COUNTIF(Table1[Def_ID],B34)</f>
        <v>1</v>
      </c>
      <c r="D34" s="7">
        <f>C34/$G$1</f>
        <v>3.9840637450199202E-3</v>
      </c>
      <c r="E34" s="7"/>
      <c r="F34" t="str">
        <f>IF(AND(D34&gt;3%,D34&lt;10%),"High",IF(D34&gt;10%,"Critical","Low"))</f>
        <v>Low</v>
      </c>
    </row>
    <row r="35" spans="1:6">
      <c r="A35" s="6" t="s">
        <v>765</v>
      </c>
      <c r="B35" s="6" t="s">
        <v>764</v>
      </c>
      <c r="C35">
        <f>COUNTIF(Table1[Def_ID],B35)</f>
        <v>1</v>
      </c>
      <c r="D35" s="7">
        <f>C35/$G$1</f>
        <v>3.9840637450199202E-3</v>
      </c>
      <c r="E35" s="7"/>
      <c r="F35" t="str">
        <f>IF(AND(D35&gt;3%,D35&lt;10%),"High",IF(D35&gt;10%,"Critical","Low"))</f>
        <v>Low</v>
      </c>
    </row>
    <row r="36" spans="1:6">
      <c r="A36" s="6" t="s">
        <v>2659</v>
      </c>
      <c r="B36" s="6" t="s">
        <v>1111</v>
      </c>
      <c r="C36">
        <f>COUNTIF(Table1[Def_ID],B36)</f>
        <v>1</v>
      </c>
      <c r="D36" s="7">
        <f>C36/$G$1</f>
        <v>3.9840637450199202E-3</v>
      </c>
      <c r="E36" s="7"/>
      <c r="F36" t="str">
        <f>IF(AND(D36&gt;3%,D36&lt;10%),"High",IF(D36&gt;10%,"Critical","Low"))</f>
        <v>Low</v>
      </c>
    </row>
    <row r="37" spans="1:6">
      <c r="A37" s="6" t="s">
        <v>1426</v>
      </c>
      <c r="B37" s="6" t="s">
        <v>1425</v>
      </c>
      <c r="C37">
        <f>COUNTIF(Table1[Def_ID],B37)</f>
        <v>1</v>
      </c>
      <c r="D37" s="7">
        <f>C37/$G$1</f>
        <v>3.9840637450199202E-3</v>
      </c>
      <c r="E37" s="7"/>
      <c r="F37" t="str">
        <f>IF(AND(D37&gt;3%,D37&lt;10%),"High",IF(D37&gt;10%,"Critical","Low"))</f>
        <v>Low</v>
      </c>
    </row>
    <row r="38" spans="1:6">
      <c r="A38" s="6" t="s">
        <v>1308</v>
      </c>
      <c r="B38" s="6" t="s">
        <v>1307</v>
      </c>
      <c r="C38">
        <f>COUNTIF(Table1[Def_ID],B38)</f>
        <v>1</v>
      </c>
      <c r="D38" s="7">
        <f>C38/$G$1</f>
        <v>3.9840637450199202E-3</v>
      </c>
      <c r="E38" s="7"/>
      <c r="F38" t="str">
        <f>IF(AND(D38&gt;3%,D38&lt;10%),"High",IF(D38&gt;10%,"Critical","Low"))</f>
        <v>Low</v>
      </c>
    </row>
    <row r="39" spans="1:6">
      <c r="A39" s="6" t="s">
        <v>1274</v>
      </c>
      <c r="B39" s="6" t="s">
        <v>1273</v>
      </c>
      <c r="C39">
        <f>COUNTIF(Table1[Def_ID],B39)</f>
        <v>1</v>
      </c>
      <c r="D39" s="7">
        <f>C39/$G$1</f>
        <v>3.9840637450199202E-3</v>
      </c>
      <c r="E39" s="7"/>
      <c r="F39" t="str">
        <f>IF(AND(D39&gt;3%,D39&lt;10%),"High",IF(D39&gt;10%,"Critical","Low"))</f>
        <v>Low</v>
      </c>
    </row>
    <row r="40" spans="1:6">
      <c r="A40" s="6" t="s">
        <v>2660</v>
      </c>
      <c r="B40" s="6" t="s">
        <v>2661</v>
      </c>
      <c r="C40">
        <f>COUNTIF(Table1[Def_ID],B40)</f>
        <v>0</v>
      </c>
      <c r="D40" s="7">
        <f>C40/$G$1</f>
        <v>0</v>
      </c>
      <c r="E40" s="7"/>
      <c r="F40" t="str">
        <f>IF(AND(D40&gt;3%,D40&lt;10%),"High",IF(D40&gt;10%,"Critical","Low"))</f>
        <v>Low</v>
      </c>
    </row>
    <row r="41" spans="1:6">
      <c r="A41" s="6" t="s">
        <v>2662</v>
      </c>
      <c r="B41" s="6" t="s">
        <v>2663</v>
      </c>
      <c r="C41">
        <f>COUNTIF(Table1[Def_ID],B41)</f>
        <v>0</v>
      </c>
      <c r="D41" s="7">
        <f>C41/$G$1</f>
        <v>0</v>
      </c>
      <c r="E41" s="7"/>
      <c r="F41" t="str">
        <f>IF(AND(D41&gt;3%,D41&lt;10%),"High",IF(D41&gt;10%,"Critical","Low"))</f>
        <v>Low</v>
      </c>
    </row>
    <row r="42" spans="1:6" ht="15">
      <c r="A42" s="6"/>
      <c r="B42" s="6"/>
      <c r="C42">
        <f>COUNTIF(Table1[Def_ID],B42)</f>
        <v>0</v>
      </c>
      <c r="D42" s="7">
        <f>C42/$G$1</f>
        <v>0</v>
      </c>
      <c r="E42" s="7"/>
    </row>
    <row r="43" spans="1:6" ht="15">
      <c r="A43" s="6"/>
      <c r="B43" s="6"/>
      <c r="C43">
        <f>COUNTIF(Table1[Def_ID],B43)</f>
        <v>0</v>
      </c>
      <c r="D43" s="7">
        <f>C43/$G$1</f>
        <v>0</v>
      </c>
      <c r="E43" s="7"/>
    </row>
    <row r="44" spans="1:6" ht="15">
      <c r="A44" s="6"/>
      <c r="B44" s="6"/>
      <c r="C44">
        <f>COUNTIF(Table1[Def_ID],B44)</f>
        <v>0</v>
      </c>
      <c r="D44" s="7">
        <f>C44/$G$1</f>
        <v>0</v>
      </c>
      <c r="E44" s="7"/>
    </row>
    <row r="45" spans="1:6" ht="15">
      <c r="A45" s="6"/>
      <c r="B45" s="6"/>
      <c r="C45">
        <f>COUNTIF(Table1[Def_ID],B45)</f>
        <v>0</v>
      </c>
      <c r="D45" s="7">
        <f>C45/$G$1</f>
        <v>0</v>
      </c>
      <c r="E45" s="7"/>
    </row>
    <row r="46" spans="1:6" ht="15">
      <c r="A46" s="6"/>
      <c r="B46" s="6"/>
      <c r="C46">
        <f>COUNTIF(Table1[Def_ID],B46)</f>
        <v>0</v>
      </c>
      <c r="D46" s="7">
        <f>C46/$G$1</f>
        <v>0</v>
      </c>
      <c r="E46" s="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5FED-8797-4E3D-A5C1-7E8D7B92EC66}">
  <dimension ref="A1:AB17"/>
  <sheetViews>
    <sheetView workbookViewId="0">
      <selection activeCell="H8" sqref="H8"/>
    </sheetView>
  </sheetViews>
  <sheetFormatPr defaultRowHeight="14.45"/>
  <cols>
    <col min="1" max="1" width="10" bestFit="1" customWidth="1"/>
    <col min="2" max="2" width="13.5703125" bestFit="1" customWidth="1"/>
    <col min="3" max="3" width="18.5703125" style="3" bestFit="1" customWidth="1"/>
    <col min="4" max="4" width="17.140625" bestFit="1" customWidth="1"/>
    <col min="5" max="5" width="20.85546875" bestFit="1" customWidth="1"/>
    <col min="6" max="6" width="11.140625" bestFit="1" customWidth="1"/>
    <col min="7" max="7" width="23.140625" bestFit="1" customWidth="1"/>
    <col min="8" max="8" width="15" bestFit="1" customWidth="1"/>
    <col min="9" max="9" width="16.28515625" bestFit="1" customWidth="1"/>
    <col min="10" max="10" width="12.42578125" bestFit="1" customWidth="1"/>
    <col min="12" max="12" width="17.42578125" bestFit="1" customWidth="1"/>
    <col min="13" max="13" width="13.140625" bestFit="1" customWidth="1"/>
    <col min="14" max="14" width="14.85546875" bestFit="1" customWidth="1"/>
    <col min="15" max="15" width="15.140625" bestFit="1" customWidth="1"/>
    <col min="16" max="16" width="21" bestFit="1" customWidth="1"/>
    <col min="17" max="17" width="27.42578125" bestFit="1" customWidth="1"/>
    <col min="18" max="18" width="11.5703125" bestFit="1" customWidth="1"/>
    <col min="19" max="19" width="9.5703125" bestFit="1" customWidth="1"/>
    <col min="20" max="20" width="18.42578125" bestFit="1" customWidth="1"/>
    <col min="21" max="21" width="20.140625" bestFit="1" customWidth="1"/>
    <col min="22" max="22" width="21.7109375" bestFit="1" customWidth="1"/>
    <col min="23" max="23" width="17" bestFit="1" customWidth="1"/>
    <col min="24" max="24" width="32" bestFit="1" customWidth="1"/>
    <col min="25" max="25" width="19.42578125" bestFit="1" customWidth="1"/>
    <col min="26" max="26" width="19.7109375" bestFit="1" customWidth="1"/>
    <col min="27" max="27" width="20.7109375" bestFit="1" customWidth="1"/>
    <col min="28" max="28" width="13.140625" bestFit="1" customWidth="1"/>
  </cols>
  <sheetData>
    <row r="1" spans="1:28">
      <c r="A1" s="8" t="s">
        <v>1</v>
      </c>
      <c r="B1" s="8" t="s">
        <v>0</v>
      </c>
      <c r="C1" s="9" t="s">
        <v>2</v>
      </c>
      <c r="D1" s="9" t="s">
        <v>3</v>
      </c>
      <c r="E1" s="8" t="s">
        <v>4</v>
      </c>
      <c r="F1" s="8" t="s">
        <v>7</v>
      </c>
      <c r="G1" s="8" t="s">
        <v>8</v>
      </c>
      <c r="H1" s="8" t="s">
        <v>10</v>
      </c>
      <c r="I1" s="8" t="s">
        <v>11</v>
      </c>
      <c r="J1" s="8" t="s">
        <v>12</v>
      </c>
      <c r="K1" s="8" t="s">
        <v>13</v>
      </c>
      <c r="L1" s="8" t="s">
        <v>14</v>
      </c>
      <c r="M1" s="8" t="s">
        <v>15</v>
      </c>
      <c r="N1" s="8" t="s">
        <v>16</v>
      </c>
      <c r="O1" s="8" t="s">
        <v>17</v>
      </c>
      <c r="P1" s="8" t="s">
        <v>18</v>
      </c>
      <c r="Q1" s="8" t="s">
        <v>19</v>
      </c>
      <c r="R1" s="8" t="s">
        <v>20</v>
      </c>
      <c r="S1" s="8" t="s">
        <v>21</v>
      </c>
      <c r="T1" s="8" t="s">
        <v>22</v>
      </c>
      <c r="U1" s="8" t="s">
        <v>23</v>
      </c>
      <c r="V1" s="8" t="s">
        <v>28</v>
      </c>
      <c r="W1" s="8" t="s">
        <v>34</v>
      </c>
      <c r="X1" s="8" t="s">
        <v>35</v>
      </c>
      <c r="Y1" s="8" t="s">
        <v>36</v>
      </c>
      <c r="Z1" s="8" t="s">
        <v>37</v>
      </c>
      <c r="AA1" s="8" t="s">
        <v>38</v>
      </c>
      <c r="AB1" s="8" t="s">
        <v>39</v>
      </c>
    </row>
    <row r="2" spans="1:28">
      <c r="A2" s="17"/>
      <c r="B2" s="17" t="s">
        <v>2664</v>
      </c>
      <c r="C2" s="18">
        <v>45663</v>
      </c>
      <c r="D2" s="18"/>
      <c r="E2" s="17" t="s">
        <v>278</v>
      </c>
      <c r="F2" s="17" t="s">
        <v>1945</v>
      </c>
      <c r="G2" s="17" t="s">
        <v>1946</v>
      </c>
      <c r="H2" s="17" t="s">
        <v>1946</v>
      </c>
      <c r="I2" s="17" t="s">
        <v>2665</v>
      </c>
      <c r="J2" s="17" t="s">
        <v>43</v>
      </c>
      <c r="K2" s="17" t="s">
        <v>66</v>
      </c>
      <c r="L2" s="17"/>
      <c r="M2" s="17"/>
      <c r="N2" s="17"/>
      <c r="O2" s="17" t="s">
        <v>852</v>
      </c>
      <c r="P2" s="17" t="s">
        <v>2666</v>
      </c>
      <c r="Q2" s="17" t="s">
        <v>2667</v>
      </c>
      <c r="R2" s="17" t="s">
        <v>2668</v>
      </c>
      <c r="S2" s="17" t="s">
        <v>2669</v>
      </c>
      <c r="T2" s="17"/>
      <c r="U2" s="17"/>
      <c r="V2" s="17"/>
      <c r="W2" s="17"/>
      <c r="X2" s="17" t="s">
        <v>2670</v>
      </c>
      <c r="Y2" s="17"/>
      <c r="Z2" s="17"/>
      <c r="AA2" s="17" t="s">
        <v>2671</v>
      </c>
      <c r="AB2" s="17" t="s">
        <v>84</v>
      </c>
    </row>
    <row r="3" spans="1:28">
      <c r="A3" s="17"/>
      <c r="B3" s="17" t="s">
        <v>2672</v>
      </c>
      <c r="C3" s="18">
        <v>45663</v>
      </c>
      <c r="D3" s="18"/>
      <c r="E3" s="17" t="s">
        <v>278</v>
      </c>
      <c r="F3" s="17" t="s">
        <v>1945</v>
      </c>
      <c r="G3" s="17" t="s">
        <v>1946</v>
      </c>
      <c r="H3" s="17" t="s">
        <v>1946</v>
      </c>
      <c r="I3" s="17" t="s">
        <v>2665</v>
      </c>
      <c r="J3" s="17" t="s">
        <v>43</v>
      </c>
      <c r="K3" s="17" t="s">
        <v>49</v>
      </c>
      <c r="L3" s="17"/>
      <c r="M3" s="17"/>
      <c r="N3" s="17"/>
      <c r="O3" s="17" t="s">
        <v>173</v>
      </c>
      <c r="P3" s="17" t="s">
        <v>2666</v>
      </c>
      <c r="Q3" s="17" t="s">
        <v>2673</v>
      </c>
      <c r="R3" s="17" t="s">
        <v>2674</v>
      </c>
      <c r="S3" s="17" t="s">
        <v>2675</v>
      </c>
      <c r="T3" s="17"/>
      <c r="U3" s="17"/>
      <c r="V3" s="17"/>
      <c r="W3" s="17"/>
      <c r="X3" s="17" t="s">
        <v>2676</v>
      </c>
      <c r="Y3" s="17"/>
      <c r="Z3" s="17"/>
      <c r="AA3" s="17" t="s">
        <v>2677</v>
      </c>
      <c r="AB3" s="17" t="s">
        <v>84</v>
      </c>
    </row>
    <row r="4" spans="1:28">
      <c r="A4" s="17"/>
      <c r="B4" s="17" t="s">
        <v>2678</v>
      </c>
      <c r="C4" s="18">
        <v>45667</v>
      </c>
      <c r="D4" s="18"/>
      <c r="E4" s="17" t="s">
        <v>278</v>
      </c>
      <c r="F4" s="17" t="s">
        <v>1945</v>
      </c>
      <c r="G4" s="17" t="s">
        <v>1946</v>
      </c>
      <c r="H4" s="17" t="s">
        <v>1946</v>
      </c>
      <c r="I4" s="17" t="s">
        <v>2665</v>
      </c>
      <c r="J4" s="17" t="s">
        <v>43</v>
      </c>
      <c r="K4" s="17" t="s">
        <v>244</v>
      </c>
      <c r="L4" s="17"/>
      <c r="M4" s="17"/>
      <c r="N4" s="17"/>
      <c r="O4" s="17" t="s">
        <v>2679</v>
      </c>
      <c r="P4" s="17" t="s">
        <v>2680</v>
      </c>
      <c r="Q4" s="17" t="s">
        <v>2681</v>
      </c>
      <c r="R4" s="17" t="s">
        <v>2682</v>
      </c>
      <c r="S4" s="17" t="s">
        <v>2683</v>
      </c>
      <c r="T4" s="17"/>
      <c r="U4" s="17"/>
      <c r="V4" s="17"/>
      <c r="W4" s="17"/>
      <c r="X4" s="17" t="s">
        <v>2684</v>
      </c>
      <c r="Y4" s="17"/>
      <c r="Z4" s="17"/>
      <c r="AA4" s="17" t="s">
        <v>2685</v>
      </c>
      <c r="AB4" s="17" t="s">
        <v>74</v>
      </c>
    </row>
    <row r="5" spans="1:28">
      <c r="A5" s="17"/>
      <c r="B5" s="17" t="s">
        <v>2686</v>
      </c>
      <c r="C5" s="18">
        <v>45691</v>
      </c>
      <c r="D5" s="18"/>
      <c r="E5" s="17" t="s">
        <v>47</v>
      </c>
      <c r="F5" s="17" t="s">
        <v>1945</v>
      </c>
      <c r="G5" s="17" t="s">
        <v>1946</v>
      </c>
      <c r="H5" s="17" t="s">
        <v>1946</v>
      </c>
      <c r="I5" s="17" t="s">
        <v>2665</v>
      </c>
      <c r="J5" s="17" t="s">
        <v>43</v>
      </c>
      <c r="K5" s="17" t="s">
        <v>244</v>
      </c>
      <c r="L5" s="17"/>
      <c r="M5" s="17"/>
      <c r="N5" s="17"/>
      <c r="O5" s="17" t="s">
        <v>2687</v>
      </c>
      <c r="P5" s="17" t="s">
        <v>2688</v>
      </c>
      <c r="Q5" s="17" t="s">
        <v>2689</v>
      </c>
      <c r="R5" s="17" t="s">
        <v>2690</v>
      </c>
      <c r="S5" s="17" t="s">
        <v>2691</v>
      </c>
      <c r="T5" s="17"/>
      <c r="U5" s="17"/>
      <c r="V5" s="17"/>
      <c r="W5" s="17"/>
      <c r="X5" s="17" t="s">
        <v>2692</v>
      </c>
      <c r="Y5" s="17"/>
      <c r="Z5" s="17"/>
      <c r="AA5" s="17" t="s">
        <v>2693</v>
      </c>
      <c r="AB5" s="17" t="s">
        <v>84</v>
      </c>
    </row>
    <row r="6" spans="1:28">
      <c r="A6" s="17"/>
      <c r="B6" s="17" t="s">
        <v>2694</v>
      </c>
      <c r="C6" s="18">
        <v>45691</v>
      </c>
      <c r="D6" s="18"/>
      <c r="E6" s="17" t="s">
        <v>278</v>
      </c>
      <c r="F6" s="17" t="s">
        <v>1945</v>
      </c>
      <c r="G6" s="17" t="s">
        <v>1946</v>
      </c>
      <c r="H6" s="17" t="s">
        <v>1946</v>
      </c>
      <c r="I6" s="17" t="s">
        <v>2665</v>
      </c>
      <c r="J6" s="17" t="s">
        <v>43</v>
      </c>
      <c r="K6" s="17" t="s">
        <v>49</v>
      </c>
      <c r="L6" s="17"/>
      <c r="M6" s="17"/>
      <c r="N6" s="17"/>
      <c r="O6" s="17" t="s">
        <v>2695</v>
      </c>
      <c r="P6" s="17" t="s">
        <v>2696</v>
      </c>
      <c r="Q6" s="17" t="s">
        <v>2697</v>
      </c>
      <c r="R6" s="17" t="s">
        <v>2698</v>
      </c>
      <c r="S6" s="17" t="s">
        <v>2699</v>
      </c>
      <c r="T6" s="17"/>
      <c r="U6" s="17"/>
      <c r="V6" s="17"/>
      <c r="W6" s="17"/>
      <c r="X6" s="17" t="s">
        <v>2700</v>
      </c>
      <c r="Y6" s="17"/>
      <c r="Z6" s="17"/>
      <c r="AA6" s="17" t="s">
        <v>2701</v>
      </c>
      <c r="AB6" s="17" t="s">
        <v>74</v>
      </c>
    </row>
    <row r="7" spans="1:28">
      <c r="A7" s="17"/>
      <c r="B7" s="17" t="s">
        <v>2702</v>
      </c>
      <c r="C7" s="18">
        <v>45692</v>
      </c>
      <c r="D7" s="18"/>
      <c r="E7" s="17" t="s">
        <v>278</v>
      </c>
      <c r="F7" s="17" t="s">
        <v>1945</v>
      </c>
      <c r="G7" s="17" t="s">
        <v>1946</v>
      </c>
      <c r="H7" s="17" t="s">
        <v>1946</v>
      </c>
      <c r="I7" s="17" t="s">
        <v>2665</v>
      </c>
      <c r="J7" s="17" t="s">
        <v>43</v>
      </c>
      <c r="K7" s="17" t="s">
        <v>49</v>
      </c>
      <c r="L7" s="17"/>
      <c r="M7" s="17"/>
      <c r="N7" s="17"/>
      <c r="O7" s="17" t="s">
        <v>2703</v>
      </c>
      <c r="P7" s="17" t="s">
        <v>2704</v>
      </c>
      <c r="Q7" s="17" t="s">
        <v>2705</v>
      </c>
      <c r="R7" s="17" t="s">
        <v>2706</v>
      </c>
      <c r="S7" s="17" t="s">
        <v>2707</v>
      </c>
      <c r="T7" s="17"/>
      <c r="U7" s="17"/>
      <c r="V7" s="17"/>
      <c r="W7" s="17"/>
      <c r="X7" s="17" t="s">
        <v>2708</v>
      </c>
      <c r="Y7" s="17"/>
      <c r="Z7" s="17"/>
      <c r="AA7" s="17" t="s">
        <v>2709</v>
      </c>
      <c r="AB7" s="17" t="s">
        <v>84</v>
      </c>
    </row>
    <row r="8" spans="1:28">
      <c r="A8" s="17"/>
      <c r="B8" s="17" t="s">
        <v>2710</v>
      </c>
      <c r="C8" s="18">
        <v>45692</v>
      </c>
      <c r="D8" s="18"/>
      <c r="E8" s="17" t="s">
        <v>457</v>
      </c>
      <c r="F8" s="17" t="s">
        <v>1945</v>
      </c>
      <c r="G8" s="17" t="s">
        <v>1946</v>
      </c>
      <c r="H8" s="17" t="s">
        <v>1946</v>
      </c>
      <c r="I8" s="17" t="s">
        <v>2665</v>
      </c>
      <c r="J8" s="17" t="s">
        <v>43</v>
      </c>
      <c r="K8" s="17" t="s">
        <v>49</v>
      </c>
      <c r="L8" s="17"/>
      <c r="M8" s="17"/>
      <c r="N8" s="17"/>
      <c r="O8" s="17" t="s">
        <v>1966</v>
      </c>
      <c r="P8" s="17"/>
      <c r="Q8" s="17"/>
      <c r="R8" s="17"/>
      <c r="S8" s="17" t="s">
        <v>2711</v>
      </c>
      <c r="T8" s="17"/>
      <c r="U8" s="17"/>
      <c r="V8" s="17"/>
      <c r="W8" s="17"/>
      <c r="X8" s="17"/>
      <c r="Y8" s="17"/>
      <c r="Z8" s="17"/>
      <c r="AA8" s="17"/>
      <c r="AB8" s="17"/>
    </row>
    <row r="9" spans="1:28">
      <c r="A9" s="17"/>
      <c r="B9" s="17" t="s">
        <v>2712</v>
      </c>
      <c r="C9" s="18">
        <v>45693</v>
      </c>
      <c r="D9" s="18"/>
      <c r="E9" s="17" t="s">
        <v>41</v>
      </c>
      <c r="F9" s="17" t="s">
        <v>1945</v>
      </c>
      <c r="G9" s="17" t="s">
        <v>1946</v>
      </c>
      <c r="H9" s="17" t="s">
        <v>1946</v>
      </c>
      <c r="I9" s="17" t="s">
        <v>2665</v>
      </c>
      <c r="J9" s="17" t="s">
        <v>43</v>
      </c>
      <c r="K9" s="17" t="s">
        <v>550</v>
      </c>
      <c r="L9" s="17"/>
      <c r="M9" s="17"/>
      <c r="N9" s="17"/>
      <c r="O9" s="17" t="s">
        <v>780</v>
      </c>
      <c r="P9" s="17" t="s">
        <v>2713</v>
      </c>
      <c r="Q9" s="17" t="s">
        <v>2714</v>
      </c>
      <c r="R9" s="17" t="s">
        <v>2715</v>
      </c>
      <c r="S9" s="17" t="s">
        <v>2716</v>
      </c>
      <c r="T9" s="17"/>
      <c r="U9" s="17"/>
      <c r="V9" s="17"/>
      <c r="W9" s="17"/>
      <c r="X9" s="17" t="s">
        <v>2717</v>
      </c>
      <c r="Y9" s="17"/>
      <c r="Z9" s="17"/>
      <c r="AA9" s="17" t="s">
        <v>2718</v>
      </c>
      <c r="AB9" s="17" t="s">
        <v>95</v>
      </c>
    </row>
    <row r="10" spans="1:28" ht="15">
      <c r="A10" s="17"/>
      <c r="B10" s="17" t="s">
        <v>2719</v>
      </c>
      <c r="C10" s="18">
        <v>45622</v>
      </c>
      <c r="D10" s="18"/>
      <c r="E10" s="17" t="s">
        <v>41</v>
      </c>
      <c r="F10" s="17" t="s">
        <v>2661</v>
      </c>
      <c r="G10" s="17" t="s">
        <v>2660</v>
      </c>
      <c r="H10" s="17" t="s">
        <v>2660</v>
      </c>
      <c r="I10" s="17" t="s">
        <v>2665</v>
      </c>
      <c r="J10" s="17" t="s">
        <v>43</v>
      </c>
      <c r="K10" s="17" t="s">
        <v>87</v>
      </c>
      <c r="L10" s="17"/>
      <c r="M10" s="17"/>
      <c r="N10" s="17"/>
      <c r="O10" s="17" t="s">
        <v>130</v>
      </c>
      <c r="P10" s="17"/>
      <c r="Q10" s="17"/>
      <c r="R10" s="17"/>
      <c r="S10" s="17"/>
      <c r="T10" s="17"/>
      <c r="U10" s="17"/>
      <c r="V10" s="17"/>
      <c r="W10" s="17"/>
      <c r="X10" s="17"/>
      <c r="Y10" s="17"/>
      <c r="Z10" s="17"/>
      <c r="AA10" s="17"/>
      <c r="AB10" s="17"/>
    </row>
    <row r="11" spans="1:28" ht="15">
      <c r="A11" s="17"/>
      <c r="B11" s="17" t="s">
        <v>2720</v>
      </c>
      <c r="C11" s="18">
        <v>45630</v>
      </c>
      <c r="D11" s="18"/>
      <c r="E11" s="17" t="s">
        <v>47</v>
      </c>
      <c r="F11" s="17" t="s">
        <v>2661</v>
      </c>
      <c r="G11" s="17" t="s">
        <v>2660</v>
      </c>
      <c r="H11" s="17" t="s">
        <v>2660</v>
      </c>
      <c r="I11" s="17" t="s">
        <v>2665</v>
      </c>
      <c r="J11" s="17" t="s">
        <v>43</v>
      </c>
      <c r="K11" s="17" t="s">
        <v>87</v>
      </c>
      <c r="L11" s="17"/>
      <c r="M11" s="17"/>
      <c r="N11" s="17"/>
      <c r="O11" s="17" t="s">
        <v>2721</v>
      </c>
      <c r="P11" s="17" t="s">
        <v>2722</v>
      </c>
      <c r="Q11" s="17" t="s">
        <v>2723</v>
      </c>
      <c r="R11" s="17" t="s">
        <v>2724</v>
      </c>
      <c r="S11" s="17" t="s">
        <v>2725</v>
      </c>
      <c r="T11" s="17"/>
      <c r="U11" s="17"/>
      <c r="V11" s="17"/>
      <c r="W11" s="17"/>
      <c r="X11" s="17" t="s">
        <v>2726</v>
      </c>
      <c r="Y11" s="17"/>
      <c r="Z11" s="17"/>
      <c r="AA11" s="17" t="s">
        <v>2727</v>
      </c>
      <c r="AB11" s="17" t="s">
        <v>84</v>
      </c>
    </row>
    <row r="12" spans="1:28" ht="15">
      <c r="A12" s="17"/>
      <c r="B12" s="17" t="s">
        <v>2728</v>
      </c>
      <c r="C12" s="18">
        <v>45665</v>
      </c>
      <c r="D12" s="18"/>
      <c r="E12" s="17" t="s">
        <v>41</v>
      </c>
      <c r="F12" s="17" t="s">
        <v>2661</v>
      </c>
      <c r="G12" s="17" t="s">
        <v>2660</v>
      </c>
      <c r="H12" s="17" t="s">
        <v>2660</v>
      </c>
      <c r="I12" s="17" t="s">
        <v>2665</v>
      </c>
      <c r="J12" s="17" t="s">
        <v>43</v>
      </c>
      <c r="K12" s="17" t="s">
        <v>87</v>
      </c>
      <c r="L12" s="17"/>
      <c r="M12" s="17"/>
      <c r="N12" s="17"/>
      <c r="O12" s="17" t="s">
        <v>2729</v>
      </c>
      <c r="P12" s="17" t="s">
        <v>2730</v>
      </c>
      <c r="Q12" s="17" t="s">
        <v>2731</v>
      </c>
      <c r="R12" s="17" t="s">
        <v>2732</v>
      </c>
      <c r="S12" s="17" t="s">
        <v>2733</v>
      </c>
      <c r="T12" s="17"/>
      <c r="U12" s="17"/>
      <c r="V12" s="17"/>
      <c r="W12" s="17"/>
      <c r="X12" s="17" t="s">
        <v>2734</v>
      </c>
      <c r="Y12" s="17"/>
      <c r="Z12" s="17"/>
      <c r="AA12" s="17" t="s">
        <v>2735</v>
      </c>
      <c r="AB12" s="17" t="s">
        <v>84</v>
      </c>
    </row>
    <row r="13" spans="1:28" ht="15">
      <c r="A13" s="17"/>
      <c r="B13" s="17" t="s">
        <v>2736</v>
      </c>
      <c r="C13" s="18">
        <v>45665</v>
      </c>
      <c r="D13" s="18"/>
      <c r="E13" s="17" t="s">
        <v>47</v>
      </c>
      <c r="F13" s="17" t="s">
        <v>2661</v>
      </c>
      <c r="G13" s="17" t="s">
        <v>2660</v>
      </c>
      <c r="H13" s="17" t="s">
        <v>2660</v>
      </c>
      <c r="I13" s="17" t="s">
        <v>2665</v>
      </c>
      <c r="J13" s="17" t="s">
        <v>43</v>
      </c>
      <c r="K13" s="17" t="s">
        <v>87</v>
      </c>
      <c r="L13" s="17"/>
      <c r="M13" s="17"/>
      <c r="N13" s="17"/>
      <c r="O13" s="17" t="s">
        <v>2737</v>
      </c>
      <c r="P13" s="17" t="s">
        <v>2738</v>
      </c>
      <c r="Q13" s="17" t="s">
        <v>2739</v>
      </c>
      <c r="R13" s="17" t="s">
        <v>2740</v>
      </c>
      <c r="S13" s="17" t="s">
        <v>2741</v>
      </c>
      <c r="T13" s="17"/>
      <c r="U13" s="17"/>
      <c r="V13" s="17"/>
      <c r="W13" s="17"/>
      <c r="X13" s="17" t="s">
        <v>2742</v>
      </c>
      <c r="Y13" s="17"/>
      <c r="Z13" s="17"/>
      <c r="AA13" s="17" t="s">
        <v>2743</v>
      </c>
      <c r="AB13" s="17" t="s">
        <v>84</v>
      </c>
    </row>
    <row r="14" spans="1:28" ht="15">
      <c r="A14" s="17"/>
      <c r="B14" s="17" t="s">
        <v>2744</v>
      </c>
      <c r="C14" s="18">
        <v>45666</v>
      </c>
      <c r="D14" s="18"/>
      <c r="E14" s="17" t="s">
        <v>41</v>
      </c>
      <c r="F14" s="17" t="s">
        <v>2661</v>
      </c>
      <c r="G14" s="17" t="s">
        <v>2660</v>
      </c>
      <c r="H14" s="17" t="s">
        <v>2660</v>
      </c>
      <c r="I14" s="17" t="s">
        <v>2665</v>
      </c>
      <c r="J14" s="17" t="s">
        <v>43</v>
      </c>
      <c r="K14" s="17" t="s">
        <v>87</v>
      </c>
      <c r="L14" s="17"/>
      <c r="M14" s="17"/>
      <c r="N14" s="17"/>
      <c r="O14" s="17" t="s">
        <v>2745</v>
      </c>
      <c r="P14" s="17" t="s">
        <v>2746</v>
      </c>
      <c r="Q14" s="17" t="s">
        <v>2747</v>
      </c>
      <c r="R14" s="17" t="s">
        <v>2748</v>
      </c>
      <c r="S14" s="17" t="s">
        <v>2749</v>
      </c>
      <c r="T14" s="17"/>
      <c r="U14" s="17"/>
      <c r="V14" s="17"/>
      <c r="W14" s="17"/>
      <c r="X14" s="17" t="s">
        <v>367</v>
      </c>
      <c r="Y14" s="17"/>
      <c r="Z14" s="17"/>
      <c r="AA14" s="17" t="s">
        <v>367</v>
      </c>
      <c r="AB14" s="17" t="s">
        <v>74</v>
      </c>
    </row>
    <row r="15" spans="1:28" ht="15">
      <c r="A15" s="17"/>
      <c r="B15" s="17" t="s">
        <v>2750</v>
      </c>
      <c r="C15" s="18">
        <v>45671</v>
      </c>
      <c r="D15" s="18"/>
      <c r="E15" s="17" t="s">
        <v>41</v>
      </c>
      <c r="F15" s="17" t="s">
        <v>2661</v>
      </c>
      <c r="G15" s="17" t="s">
        <v>2660</v>
      </c>
      <c r="H15" s="17" t="s">
        <v>2660</v>
      </c>
      <c r="I15" s="17" t="s">
        <v>2665</v>
      </c>
      <c r="J15" s="17" t="s">
        <v>43</v>
      </c>
      <c r="K15" s="17" t="s">
        <v>87</v>
      </c>
      <c r="L15" s="17"/>
      <c r="M15" s="17"/>
      <c r="N15" s="17"/>
      <c r="O15" s="17" t="s">
        <v>97</v>
      </c>
      <c r="P15" s="17" t="s">
        <v>2751</v>
      </c>
      <c r="Q15" s="17" t="s">
        <v>2752</v>
      </c>
      <c r="R15" s="17" t="s">
        <v>2753</v>
      </c>
      <c r="S15" s="17" t="s">
        <v>2754</v>
      </c>
      <c r="T15" s="17"/>
      <c r="U15" s="17"/>
      <c r="V15" s="17"/>
      <c r="W15" s="17"/>
      <c r="X15" s="17" t="s">
        <v>2755</v>
      </c>
      <c r="Y15" s="17"/>
      <c r="Z15" s="17"/>
      <c r="AA15" s="17" t="s">
        <v>2756</v>
      </c>
      <c r="AB15" s="17" t="s">
        <v>84</v>
      </c>
    </row>
    <row r="16" spans="1:28" ht="72.75">
      <c r="A16" s="17" t="s">
        <v>2757</v>
      </c>
      <c r="B16" s="17" t="s">
        <v>2758</v>
      </c>
      <c r="C16" s="18">
        <v>45723</v>
      </c>
      <c r="D16" s="18">
        <v>45723</v>
      </c>
      <c r="E16" s="17" t="s">
        <v>47</v>
      </c>
      <c r="F16" s="17" t="s">
        <v>2661</v>
      </c>
      <c r="G16" s="17" t="s">
        <v>2660</v>
      </c>
      <c r="H16" s="17" t="s">
        <v>2660</v>
      </c>
      <c r="I16" s="17"/>
      <c r="J16" s="17" t="s">
        <v>43</v>
      </c>
      <c r="K16" s="17" t="s">
        <v>609</v>
      </c>
      <c r="L16" s="17" t="s">
        <v>712</v>
      </c>
      <c r="M16" s="17"/>
      <c r="N16" s="17"/>
      <c r="O16" s="17" t="s">
        <v>97</v>
      </c>
      <c r="P16" s="17" t="s">
        <v>2759</v>
      </c>
      <c r="Q16" s="17" t="s">
        <v>2760</v>
      </c>
      <c r="R16" s="17"/>
      <c r="S16" s="17" t="s">
        <v>2761</v>
      </c>
      <c r="T16" s="17"/>
      <c r="U16" s="17"/>
      <c r="V16" s="31" t="s">
        <v>603</v>
      </c>
      <c r="W16" s="31" t="s">
        <v>604</v>
      </c>
      <c r="X16" s="17" t="s">
        <v>2762</v>
      </c>
      <c r="Y16" s="17"/>
      <c r="Z16" s="17"/>
      <c r="AA16" s="17" t="s">
        <v>2763</v>
      </c>
      <c r="AB16" s="17" t="s">
        <v>84</v>
      </c>
    </row>
    <row r="17" spans="1:28" ht="72.75">
      <c r="A17" s="17" t="s">
        <v>2764</v>
      </c>
      <c r="B17" s="17" t="s">
        <v>2765</v>
      </c>
      <c r="C17" s="18">
        <v>45723</v>
      </c>
      <c r="D17" s="18">
        <v>45723</v>
      </c>
      <c r="E17" s="17" t="s">
        <v>47</v>
      </c>
      <c r="F17" s="17" t="s">
        <v>2661</v>
      </c>
      <c r="G17" s="17" t="s">
        <v>2660</v>
      </c>
      <c r="H17" s="17" t="s">
        <v>2660</v>
      </c>
      <c r="I17" s="17"/>
      <c r="J17" s="17" t="s">
        <v>43</v>
      </c>
      <c r="K17" s="17" t="s">
        <v>609</v>
      </c>
      <c r="L17" s="17" t="s">
        <v>712</v>
      </c>
      <c r="M17" s="17"/>
      <c r="N17" s="17"/>
      <c r="O17" s="17" t="s">
        <v>97</v>
      </c>
      <c r="P17" s="17" t="s">
        <v>2759</v>
      </c>
      <c r="Q17" s="17" t="s">
        <v>2766</v>
      </c>
      <c r="R17" s="17"/>
      <c r="S17" s="17" t="s">
        <v>2767</v>
      </c>
      <c r="T17" s="17"/>
      <c r="U17" s="17"/>
      <c r="V17" s="31" t="s">
        <v>603</v>
      </c>
      <c r="W17" s="31" t="s">
        <v>604</v>
      </c>
      <c r="X17" s="17" t="s">
        <v>2768</v>
      </c>
      <c r="Y17" s="17"/>
      <c r="Z17" s="17"/>
      <c r="AA17" s="17" t="s">
        <v>2763</v>
      </c>
      <c r="AB17" s="17" t="s">
        <v>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2A732-3CFE-4D56-B92E-641991197C9D}">
  <dimension ref="A1:C33"/>
  <sheetViews>
    <sheetView showGridLines="0" topLeftCell="A17" workbookViewId="0">
      <selection activeCell="C33" sqref="C33"/>
    </sheetView>
  </sheetViews>
  <sheetFormatPr defaultRowHeight="14.45"/>
  <cols>
    <col min="1" max="1" width="21.140625" customWidth="1"/>
    <col min="2" max="2" width="2.7109375" customWidth="1"/>
    <col min="3" max="3" width="111.85546875" customWidth="1"/>
  </cols>
  <sheetData>
    <row r="1" spans="1:3">
      <c r="A1" t="s">
        <v>0</v>
      </c>
      <c r="B1" s="14" t="s">
        <v>2769</v>
      </c>
      <c r="C1" t="s">
        <v>189</v>
      </c>
    </row>
    <row r="3" spans="1:3" ht="16.899999999999999">
      <c r="A3" s="14" t="s">
        <v>10</v>
      </c>
      <c r="B3" s="14" t="s">
        <v>2769</v>
      </c>
      <c r="C3" s="15" t="str">
        <f>VLOOKUP($C$1,Table1[#All],9,0)</f>
        <v>Abnormal CR Movement</v>
      </c>
    </row>
    <row r="4" spans="1:3" ht="16.899999999999999">
      <c r="A4" s="11" t="s">
        <v>2770</v>
      </c>
      <c r="B4" s="11" t="s">
        <v>2769</v>
      </c>
      <c r="C4" s="12" t="s">
        <v>2771</v>
      </c>
    </row>
    <row r="5" spans="1:3" ht="16.899999999999999">
      <c r="A5" s="11" t="s">
        <v>2772</v>
      </c>
      <c r="B5" s="11" t="s">
        <v>2769</v>
      </c>
      <c r="C5" s="12" t="s">
        <v>2773</v>
      </c>
    </row>
    <row r="6" spans="1:3" ht="16.899999999999999">
      <c r="A6" s="11" t="s">
        <v>2774</v>
      </c>
      <c r="B6" s="11" t="s">
        <v>2769</v>
      </c>
      <c r="C6" s="12" t="s">
        <v>2775</v>
      </c>
    </row>
    <row r="7" spans="1:3" ht="16.899999999999999">
      <c r="A7" s="11" t="s">
        <v>2776</v>
      </c>
      <c r="B7" s="11" t="s">
        <v>2769</v>
      </c>
      <c r="C7" s="12" t="s">
        <v>2777</v>
      </c>
    </row>
    <row r="8" spans="1:3" ht="16.899999999999999">
      <c r="A8" s="11" t="s">
        <v>2778</v>
      </c>
      <c r="B8" s="11" t="s">
        <v>2769</v>
      </c>
      <c r="C8" s="12" t="s">
        <v>2779</v>
      </c>
    </row>
    <row r="9" spans="1:3" ht="16.899999999999999">
      <c r="A9" s="11" t="s">
        <v>2780</v>
      </c>
      <c r="B9" s="11" t="s">
        <v>2769</v>
      </c>
      <c r="C9" s="12" t="s">
        <v>2781</v>
      </c>
    </row>
    <row r="12" spans="1:3">
      <c r="A12" s="11" t="s">
        <v>2782</v>
      </c>
      <c r="B12" t="s">
        <v>2769</v>
      </c>
    </row>
    <row r="21" spans="1:3" ht="16.899999999999999">
      <c r="A21" s="11" t="s">
        <v>2783</v>
      </c>
      <c r="B21" s="11" t="s">
        <v>2769</v>
      </c>
      <c r="C21" s="12" t="s">
        <v>2784</v>
      </c>
    </row>
    <row r="22" spans="1:3" ht="16.899999999999999">
      <c r="A22" s="13"/>
      <c r="B22" s="13"/>
      <c r="C22" s="12" t="s">
        <v>2785</v>
      </c>
    </row>
    <row r="23" spans="1:3" ht="16.899999999999999">
      <c r="A23" s="13"/>
      <c r="B23" s="13"/>
      <c r="C23" s="12" t="s">
        <v>2786</v>
      </c>
    </row>
    <row r="24" spans="1:3" ht="16.899999999999999">
      <c r="A24" s="13"/>
      <c r="B24" s="13"/>
      <c r="C24" s="12" t="s">
        <v>2787</v>
      </c>
    </row>
    <row r="25" spans="1:3" ht="16.899999999999999">
      <c r="A25" s="13"/>
      <c r="B25" s="13"/>
      <c r="C25" s="12" t="s">
        <v>2788</v>
      </c>
    </row>
    <row r="26" spans="1:3" ht="16.899999999999999">
      <c r="A26" s="13"/>
      <c r="B26" s="13"/>
      <c r="C26" s="12" t="s">
        <v>2789</v>
      </c>
    </row>
    <row r="28" spans="1:3" ht="16.899999999999999">
      <c r="A28" s="11" t="s">
        <v>2790</v>
      </c>
      <c r="B28" s="11" t="s">
        <v>2769</v>
      </c>
      <c r="C28" s="12" t="s">
        <v>2791</v>
      </c>
    </row>
    <row r="29" spans="1:3" ht="16.899999999999999">
      <c r="A29" s="13"/>
      <c r="B29" s="13"/>
      <c r="C29" s="12" t="s">
        <v>2792</v>
      </c>
    </row>
    <row r="30" spans="1:3" ht="16.899999999999999">
      <c r="A30" s="13"/>
      <c r="B30" s="13"/>
      <c r="C30" s="12" t="s">
        <v>2793</v>
      </c>
    </row>
    <row r="31" spans="1:3" ht="16.899999999999999">
      <c r="A31" s="13"/>
      <c r="B31" s="13"/>
      <c r="C31" s="12" t="s">
        <v>2794</v>
      </c>
    </row>
    <row r="32" spans="1:3" ht="16.899999999999999">
      <c r="A32" s="13"/>
      <c r="B32" s="13"/>
      <c r="C32" s="12"/>
    </row>
    <row r="33" spans="1:3" ht="16.899999999999999">
      <c r="A33" s="13"/>
      <c r="B33" s="13"/>
      <c r="C33"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69C13-DD80-47FA-9096-762E5EE863B0}">
  <dimension ref="A1:B50"/>
  <sheetViews>
    <sheetView workbookViewId="0">
      <selection activeCell="A4" sqref="A4"/>
    </sheetView>
  </sheetViews>
  <sheetFormatPr defaultRowHeight="14.45"/>
  <cols>
    <col min="1" max="1" width="41.28515625" bestFit="1" customWidth="1"/>
    <col min="2" max="2" width="19.140625" bestFit="1" customWidth="1"/>
  </cols>
  <sheetData>
    <row r="1" spans="1:2">
      <c r="A1" s="19" t="s">
        <v>2</v>
      </c>
      <c r="B1" t="s">
        <v>2795</v>
      </c>
    </row>
    <row r="3" spans="1:2">
      <c r="A3" s="19" t="s">
        <v>2796</v>
      </c>
      <c r="B3" t="s">
        <v>2797</v>
      </c>
    </row>
    <row r="4" spans="1:2">
      <c r="A4" s="20" t="s">
        <v>190</v>
      </c>
      <c r="B4">
        <v>1</v>
      </c>
    </row>
    <row r="5" spans="1:2">
      <c r="A5" s="20" t="s">
        <v>252</v>
      </c>
      <c r="B5">
        <v>4</v>
      </c>
    </row>
    <row r="6" spans="1:2">
      <c r="A6" s="20" t="s">
        <v>1198</v>
      </c>
      <c r="B6">
        <v>1</v>
      </c>
    </row>
    <row r="7" spans="1:2">
      <c r="A7" s="20" t="s">
        <v>1361</v>
      </c>
      <c r="B7">
        <v>1</v>
      </c>
    </row>
    <row r="8" spans="1:2">
      <c r="A8" s="20" t="s">
        <v>1455</v>
      </c>
      <c r="B8">
        <v>1</v>
      </c>
    </row>
    <row r="9" spans="1:2">
      <c r="A9" s="20" t="s">
        <v>141</v>
      </c>
      <c r="B9">
        <v>1</v>
      </c>
    </row>
    <row r="10" spans="1:2">
      <c r="A10" s="20" t="s">
        <v>1015</v>
      </c>
      <c r="B10">
        <v>1</v>
      </c>
    </row>
    <row r="11" spans="1:2">
      <c r="A11" s="20" t="s">
        <v>1576</v>
      </c>
      <c r="B11">
        <v>1</v>
      </c>
    </row>
    <row r="12" spans="1:2">
      <c r="A12" s="20" t="s">
        <v>1179</v>
      </c>
      <c r="B12">
        <v>3</v>
      </c>
    </row>
    <row r="13" spans="1:2">
      <c r="A13" s="20" t="s">
        <v>435</v>
      </c>
      <c r="B13">
        <v>1</v>
      </c>
    </row>
    <row r="14" spans="1:2">
      <c r="A14" s="20" t="s">
        <v>1627</v>
      </c>
      <c r="B14">
        <v>1</v>
      </c>
    </row>
    <row r="15" spans="1:2">
      <c r="A15" s="20" t="s">
        <v>54</v>
      </c>
      <c r="B15">
        <v>4</v>
      </c>
    </row>
    <row r="16" spans="1:2">
      <c r="A16" s="20" t="s">
        <v>109</v>
      </c>
      <c r="B16">
        <v>8</v>
      </c>
    </row>
    <row r="17" spans="1:2">
      <c r="A17" s="20" t="s">
        <v>48</v>
      </c>
      <c r="B17">
        <v>7</v>
      </c>
    </row>
    <row r="18" spans="1:2">
      <c r="A18" s="20" t="s">
        <v>828</v>
      </c>
      <c r="B18">
        <v>1</v>
      </c>
    </row>
    <row r="19" spans="1:2">
      <c r="A19" s="20" t="s">
        <v>1618</v>
      </c>
      <c r="B19">
        <v>1</v>
      </c>
    </row>
    <row r="20" spans="1:2">
      <c r="A20" s="20" t="s">
        <v>1046</v>
      </c>
      <c r="B20">
        <v>2</v>
      </c>
    </row>
    <row r="21" spans="1:2">
      <c r="A21" s="20" t="s">
        <v>1531</v>
      </c>
      <c r="B21">
        <v>1</v>
      </c>
    </row>
    <row r="22" spans="1:2">
      <c r="A22" s="20" t="s">
        <v>1054</v>
      </c>
      <c r="B22">
        <v>1</v>
      </c>
    </row>
    <row r="23" spans="1:2">
      <c r="A23" s="20" t="s">
        <v>1045</v>
      </c>
      <c r="B23">
        <v>1</v>
      </c>
    </row>
    <row r="24" spans="1:2">
      <c r="A24" s="20" t="s">
        <v>1309</v>
      </c>
      <c r="B24">
        <v>1</v>
      </c>
    </row>
    <row r="25" spans="1:2">
      <c r="A25" s="20" t="s">
        <v>352</v>
      </c>
      <c r="B25">
        <v>2</v>
      </c>
    </row>
    <row r="26" spans="1:2">
      <c r="A26" s="20" t="s">
        <v>1027</v>
      </c>
      <c r="B26">
        <v>1</v>
      </c>
    </row>
    <row r="27" spans="1:2">
      <c r="A27" s="20" t="s">
        <v>1547</v>
      </c>
      <c r="B27">
        <v>1</v>
      </c>
    </row>
    <row r="28" spans="1:2">
      <c r="A28" s="20" t="s">
        <v>1139</v>
      </c>
      <c r="B28">
        <v>1</v>
      </c>
    </row>
    <row r="29" spans="1:2">
      <c r="A29" s="20" t="s">
        <v>86</v>
      </c>
      <c r="B29">
        <v>2</v>
      </c>
    </row>
    <row r="30" spans="1:2">
      <c r="A30" s="20" t="s">
        <v>943</v>
      </c>
      <c r="B30">
        <v>1</v>
      </c>
    </row>
    <row r="31" spans="1:2">
      <c r="A31" s="20" t="s">
        <v>1609</v>
      </c>
      <c r="B31">
        <v>1</v>
      </c>
    </row>
    <row r="32" spans="1:2">
      <c r="A32" s="20" t="s">
        <v>1113</v>
      </c>
      <c r="B32">
        <v>1</v>
      </c>
    </row>
    <row r="33" spans="1:2">
      <c r="A33" s="20" t="s">
        <v>1258</v>
      </c>
      <c r="B33">
        <v>1</v>
      </c>
    </row>
    <row r="34" spans="1:2">
      <c r="A34" s="20" t="s">
        <v>1388</v>
      </c>
      <c r="B34">
        <v>1</v>
      </c>
    </row>
    <row r="35" spans="1:2">
      <c r="A35" s="20" t="s">
        <v>1169</v>
      </c>
      <c r="B35">
        <v>1</v>
      </c>
    </row>
    <row r="36" spans="1:2">
      <c r="A36" s="20" t="s">
        <v>65</v>
      </c>
      <c r="B36">
        <v>3</v>
      </c>
    </row>
    <row r="37" spans="1:2">
      <c r="A37" s="20" t="s">
        <v>1481</v>
      </c>
      <c r="B37">
        <v>1</v>
      </c>
    </row>
    <row r="38" spans="1:2">
      <c r="A38" s="20" t="s">
        <v>519</v>
      </c>
      <c r="B38">
        <v>1</v>
      </c>
    </row>
    <row r="39" spans="1:2">
      <c r="A39" s="20" t="s">
        <v>1275</v>
      </c>
      <c r="B39">
        <v>1</v>
      </c>
    </row>
    <row r="40" spans="1:2">
      <c r="A40" s="20" t="s">
        <v>243</v>
      </c>
      <c r="B40">
        <v>2</v>
      </c>
    </row>
    <row r="41" spans="1:2">
      <c r="A41" s="20" t="s">
        <v>496</v>
      </c>
      <c r="B41">
        <v>1</v>
      </c>
    </row>
    <row r="42" spans="1:2">
      <c r="A42" s="20" t="s">
        <v>1585</v>
      </c>
      <c r="B42">
        <v>1</v>
      </c>
    </row>
    <row r="43" spans="1:2">
      <c r="A43" s="20" t="s">
        <v>1409</v>
      </c>
      <c r="B43">
        <v>1</v>
      </c>
    </row>
    <row r="44" spans="1:2">
      <c r="A44" s="20" t="s">
        <v>1080</v>
      </c>
      <c r="B44">
        <v>1</v>
      </c>
    </row>
    <row r="45" spans="1:2">
      <c r="A45" s="20" t="s">
        <v>995</v>
      </c>
      <c r="B45">
        <v>1</v>
      </c>
    </row>
    <row r="46" spans="1:2">
      <c r="A46" s="20" t="s">
        <v>1036</v>
      </c>
      <c r="B46">
        <v>1</v>
      </c>
    </row>
    <row r="47" spans="1:2">
      <c r="A47" s="20" t="s">
        <v>1249</v>
      </c>
      <c r="B47">
        <v>1</v>
      </c>
    </row>
    <row r="48" spans="1:2">
      <c r="A48" s="20" t="s">
        <v>181</v>
      </c>
      <c r="B48">
        <v>4</v>
      </c>
    </row>
    <row r="49" spans="1:2">
      <c r="A49" s="20" t="s">
        <v>1325</v>
      </c>
      <c r="B49">
        <v>1</v>
      </c>
    </row>
    <row r="50" spans="1:2">
      <c r="A50" s="20" t="s">
        <v>2798</v>
      </c>
      <c r="B50">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EF6D-7C1F-47F4-ACB4-7FA23ED1746A}">
  <dimension ref="A2:J38"/>
  <sheetViews>
    <sheetView topLeftCell="B6" workbookViewId="0">
      <selection activeCell="O43" sqref="O43"/>
    </sheetView>
  </sheetViews>
  <sheetFormatPr defaultRowHeight="14.45"/>
  <cols>
    <col min="1" max="1" width="30.7109375" customWidth="1"/>
    <col min="2" max="2" width="39.85546875" customWidth="1"/>
    <col min="5" max="5" width="23.5703125" customWidth="1"/>
    <col min="6" max="6" width="31.5703125" bestFit="1" customWidth="1"/>
    <col min="8" max="8" width="25" customWidth="1"/>
    <col min="10" max="11" width="15.5703125" bestFit="1" customWidth="1"/>
  </cols>
  <sheetData>
    <row r="2" spans="1:10">
      <c r="H2" t="s">
        <v>2799</v>
      </c>
    </row>
    <row r="3" spans="1:10">
      <c r="A3" s="30" t="s">
        <v>2800</v>
      </c>
      <c r="B3" s="30" t="s">
        <v>2801</v>
      </c>
      <c r="C3" s="30"/>
      <c r="D3" s="30"/>
      <c r="E3" s="30" t="s">
        <v>2802</v>
      </c>
      <c r="H3" s="22" t="s">
        <v>2803</v>
      </c>
      <c r="I3" s="22" t="s">
        <v>2804</v>
      </c>
      <c r="J3" s="22" t="s">
        <v>2805</v>
      </c>
    </row>
    <row r="4" spans="1:10" ht="15.6">
      <c r="A4" t="s">
        <v>1711</v>
      </c>
      <c r="B4" s="20" t="s">
        <v>109</v>
      </c>
      <c r="C4">
        <v>8</v>
      </c>
      <c r="E4" s="20" t="s">
        <v>190</v>
      </c>
      <c r="F4">
        <f>SUMIF((A:A),"Abnormal CR Movement", (C:C))</f>
        <v>1</v>
      </c>
      <c r="H4" s="26" t="str" cm="1">
        <f t="array" ref="H4:I12">_xlfn._xlws.SORT(
_xlfn._xlws.FILTER(E4:F27, F4:F27 &gt;= SMALL(_xlfn.UNIQUE(F4:F27), MIN(3, COUNTA(_xlfn.UNIQUE(F4:F27))))),
2, -1
)</f>
        <v>PH Defect</v>
      </c>
      <c r="I4" s="24">
        <v>23</v>
      </c>
      <c r="J4" s="25">
        <v>1</v>
      </c>
    </row>
    <row r="5" spans="1:10" ht="15.6">
      <c r="A5" t="s">
        <v>1711</v>
      </c>
      <c r="B5" s="20" t="s">
        <v>48</v>
      </c>
      <c r="C5">
        <v>7</v>
      </c>
      <c r="E5" s="20" t="s">
        <v>252</v>
      </c>
      <c r="F5">
        <f>SUMIF((A:A),"Abnormal Noise", (C:C))</f>
        <v>7</v>
      </c>
      <c r="H5" s="26" t="str">
        <v>Abnormal Noise</v>
      </c>
      <c r="I5" s="24">
        <v>7</v>
      </c>
      <c r="J5" s="25">
        <v>2</v>
      </c>
    </row>
    <row r="6" spans="1:10" ht="15.6">
      <c r="A6" s="20" t="s">
        <v>252</v>
      </c>
      <c r="B6" s="20" t="s">
        <v>252</v>
      </c>
      <c r="C6">
        <v>4</v>
      </c>
      <c r="E6" s="20" t="s">
        <v>2806</v>
      </c>
      <c r="F6">
        <f>SUMIF((A:A),"Abnormal panel  loading", (C:C))</f>
        <v>5</v>
      </c>
      <c r="H6" s="26" t="str">
        <v>Sensor NG</v>
      </c>
      <c r="I6" s="24">
        <v>7</v>
      </c>
      <c r="J6" s="25">
        <v>3</v>
      </c>
    </row>
    <row r="7" spans="1:10" ht="15.6">
      <c r="A7" t="s">
        <v>1711</v>
      </c>
      <c r="B7" s="20" t="s">
        <v>54</v>
      </c>
      <c r="C7">
        <v>4</v>
      </c>
      <c r="E7" s="20" t="s">
        <v>1795</v>
      </c>
      <c r="F7">
        <f>SUMIF((A:A),"Air Leak NG", (C:C))</f>
        <v>1</v>
      </c>
      <c r="H7" s="23" t="str">
        <v>Abnormal panel  loading</v>
      </c>
      <c r="I7" s="27">
        <v>5</v>
      </c>
      <c r="J7" s="29">
        <v>4</v>
      </c>
    </row>
    <row r="8" spans="1:10" ht="15.6">
      <c r="A8" t="s">
        <v>1711</v>
      </c>
      <c r="B8" s="20" t="s">
        <v>181</v>
      </c>
      <c r="C8">
        <v>4</v>
      </c>
      <c r="E8" s="20" t="s">
        <v>1179</v>
      </c>
      <c r="F8">
        <f>SUMIF((A:A),"Auto cutter ng", (C:C))</f>
        <v>3</v>
      </c>
      <c r="H8" s="23" t="str">
        <v>Auto cutter ng</v>
      </c>
      <c r="I8" s="28">
        <v>3</v>
      </c>
      <c r="J8" s="29">
        <v>5</v>
      </c>
    </row>
    <row r="9" spans="1:10" ht="15.6">
      <c r="A9" s="20" t="s">
        <v>1179</v>
      </c>
      <c r="B9" s="20" t="s">
        <v>1179</v>
      </c>
      <c r="C9">
        <v>3</v>
      </c>
      <c r="E9" s="20" t="s">
        <v>2187</v>
      </c>
      <c r="F9">
        <f>SUMIF((A:A),"Connection NG", (C:C))</f>
        <v>2</v>
      </c>
      <c r="H9" s="23" t="str">
        <v>Fatal error 005853</v>
      </c>
      <c r="I9" s="28">
        <v>3</v>
      </c>
      <c r="J9" s="29">
        <v>6</v>
      </c>
    </row>
    <row r="10" spans="1:10">
      <c r="A10" s="20" t="s">
        <v>65</v>
      </c>
      <c r="B10" s="20" t="s">
        <v>65</v>
      </c>
      <c r="C10">
        <v>3</v>
      </c>
      <c r="E10" s="20" t="s">
        <v>435</v>
      </c>
      <c r="F10">
        <f>SUMIF((A:A),"CR Measurement NG", (C:C))</f>
        <v>2</v>
      </c>
      <c r="H10" s="22" t="str">
        <v>Initial Setting NG</v>
      </c>
      <c r="I10" s="28">
        <v>3</v>
      </c>
      <c r="J10" s="29">
        <v>7</v>
      </c>
    </row>
    <row r="11" spans="1:10">
      <c r="A11" s="20" t="s">
        <v>1046</v>
      </c>
      <c r="B11" s="20" t="s">
        <v>1046</v>
      </c>
      <c r="C11">
        <v>3</v>
      </c>
      <c r="E11" s="20" t="s">
        <v>828</v>
      </c>
      <c r="F11">
        <f>SUMIF((A:A),"Fatal error 004417", (C:C))</f>
        <v>1</v>
      </c>
      <c r="H11" s="22" t="str">
        <v>MTC Box NG</v>
      </c>
      <c r="I11" s="28">
        <v>3</v>
      </c>
      <c r="J11" s="29">
        <v>8</v>
      </c>
    </row>
    <row r="12" spans="1:10">
      <c r="A12" s="20" t="s">
        <v>352</v>
      </c>
      <c r="B12" s="20" t="s">
        <v>352</v>
      </c>
      <c r="C12">
        <v>3</v>
      </c>
      <c r="E12" s="20" t="s">
        <v>1618</v>
      </c>
      <c r="F12">
        <f>SUMIF((A:A),"Fatal error 005146 ", (C:C))</f>
        <v>1</v>
      </c>
      <c r="H12" s="22" t="str">
        <v>Paper Jam</v>
      </c>
      <c r="I12" s="28">
        <v>3</v>
      </c>
      <c r="J12" s="29">
        <v>9</v>
      </c>
    </row>
    <row r="13" spans="1:10">
      <c r="A13" s="20" t="s">
        <v>86</v>
      </c>
      <c r="B13" s="20" t="s">
        <v>86</v>
      </c>
      <c r="C13">
        <v>2</v>
      </c>
      <c r="E13" s="20" t="s">
        <v>1046</v>
      </c>
      <c r="F13">
        <f>SUMIF((A:A),"Fatal error 005853", (C:C))</f>
        <v>3</v>
      </c>
    </row>
    <row r="14" spans="1:10">
      <c r="A14" s="20" t="s">
        <v>252</v>
      </c>
      <c r="B14" s="20" t="s">
        <v>243</v>
      </c>
      <c r="C14">
        <v>2</v>
      </c>
      <c r="E14" s="20" t="s">
        <v>1531</v>
      </c>
      <c r="F14">
        <f>SUMIF((A:A),"Fatal error 006725", (C:C))</f>
        <v>1</v>
      </c>
    </row>
    <row r="15" spans="1:10">
      <c r="A15" s="20" t="s">
        <v>190</v>
      </c>
      <c r="B15" s="20" t="s">
        <v>190</v>
      </c>
      <c r="C15">
        <v>1</v>
      </c>
      <c r="E15" s="20" t="s">
        <v>1054</v>
      </c>
      <c r="F15">
        <f>SUMIF((A:A),"Fatal error 300105", (C:C))</f>
        <v>1</v>
      </c>
    </row>
    <row r="16" spans="1:10">
      <c r="A16" s="21" t="s">
        <v>2806</v>
      </c>
      <c r="B16" s="20" t="s">
        <v>2806</v>
      </c>
      <c r="C16">
        <v>5</v>
      </c>
      <c r="E16" s="20" t="s">
        <v>352</v>
      </c>
      <c r="F16">
        <f>SUMIF((A:A),"Initial Setting NG", (C:C))</f>
        <v>3</v>
      </c>
    </row>
    <row r="17" spans="1:6">
      <c r="A17" t="s">
        <v>1795</v>
      </c>
      <c r="B17" s="20" t="s">
        <v>1015</v>
      </c>
      <c r="C17">
        <v>1</v>
      </c>
      <c r="E17" s="20" t="s">
        <v>1765</v>
      </c>
      <c r="F17">
        <f>SUMIF((A:A),"Loose Screw", (C:C))</f>
        <v>1</v>
      </c>
    </row>
    <row r="18" spans="1:6">
      <c r="A18" t="s">
        <v>2187</v>
      </c>
      <c r="B18" s="20" t="s">
        <v>1576</v>
      </c>
      <c r="C18">
        <v>1</v>
      </c>
      <c r="E18" s="20" t="s">
        <v>86</v>
      </c>
      <c r="F18">
        <f>SUMIF((A:A),"MNU Measurement NG", (C:C))</f>
        <v>2</v>
      </c>
    </row>
    <row r="19" spans="1:6">
      <c r="A19" s="20" t="s">
        <v>435</v>
      </c>
      <c r="B19" s="20" t="s">
        <v>435</v>
      </c>
      <c r="C19">
        <v>1</v>
      </c>
      <c r="E19" s="20" t="s">
        <v>2385</v>
      </c>
      <c r="F19">
        <f>SUMIF((A:A),"MTC Box NG", (C:C))</f>
        <v>3</v>
      </c>
    </row>
    <row r="20" spans="1:6">
      <c r="A20" s="20" t="s">
        <v>435</v>
      </c>
      <c r="B20" s="20" t="s">
        <v>1627</v>
      </c>
      <c r="C20">
        <v>1</v>
      </c>
      <c r="E20" s="20" t="s">
        <v>2453</v>
      </c>
      <c r="F20">
        <f>SUMIF((A:A),"No Inkcharge", (C:C))</f>
        <v>1</v>
      </c>
    </row>
    <row r="21" spans="1:6">
      <c r="A21" s="20" t="s">
        <v>828</v>
      </c>
      <c r="B21" s="20" t="s">
        <v>828</v>
      </c>
      <c r="C21">
        <v>1</v>
      </c>
      <c r="E21" s="20" t="s">
        <v>1934</v>
      </c>
      <c r="F21">
        <f>SUMIF((A:A),"Panel NG", (C:C))</f>
        <v>2</v>
      </c>
    </row>
    <row r="22" spans="1:6">
      <c r="A22" s="20" t="s">
        <v>1618</v>
      </c>
      <c r="B22" s="20" t="s">
        <v>1618</v>
      </c>
      <c r="C22">
        <v>1</v>
      </c>
      <c r="E22" s="20" t="s">
        <v>65</v>
      </c>
      <c r="F22">
        <f>SUMIF((A:A),"Paper Jam", (C:C))</f>
        <v>3</v>
      </c>
    </row>
    <row r="23" spans="1:6">
      <c r="A23" s="20" t="s">
        <v>1531</v>
      </c>
      <c r="B23" s="20" t="s">
        <v>1531</v>
      </c>
      <c r="C23">
        <v>1</v>
      </c>
      <c r="E23" s="20" t="s">
        <v>2807</v>
      </c>
      <c r="F23">
        <f>SUMIF((A:A),"PF Scale NG", (C:C))</f>
        <v>1</v>
      </c>
    </row>
    <row r="24" spans="1:6">
      <c r="A24" s="20" t="s">
        <v>1054</v>
      </c>
      <c r="B24" s="20" t="s">
        <v>1054</v>
      </c>
      <c r="C24">
        <v>1</v>
      </c>
      <c r="E24" s="20" t="s">
        <v>1711</v>
      </c>
      <c r="F24">
        <f>SUMIF((A:A),"PH Defect", (C:C))</f>
        <v>23</v>
      </c>
    </row>
    <row r="25" spans="1:6">
      <c r="A25" t="s">
        <v>2187</v>
      </c>
      <c r="B25" s="20" t="s">
        <v>1309</v>
      </c>
      <c r="C25">
        <v>1</v>
      </c>
      <c r="E25" s="20" t="s">
        <v>1683</v>
      </c>
      <c r="F25">
        <f>SUMIF((A:A),"Sensor NG", (C:C))</f>
        <v>7</v>
      </c>
    </row>
    <row r="26" spans="1:6">
      <c r="A26" t="s">
        <v>1934</v>
      </c>
      <c r="B26" s="20" t="s">
        <v>1547</v>
      </c>
      <c r="C26">
        <v>1</v>
      </c>
      <c r="E26" s="20" t="s">
        <v>496</v>
      </c>
      <c r="F26">
        <f>SUMIF((A:A),"Shutter Check NG", (C:C))</f>
        <v>1</v>
      </c>
    </row>
    <row r="27" spans="1:6">
      <c r="A27" t="s">
        <v>2385</v>
      </c>
      <c r="B27" s="20" t="s">
        <v>943</v>
      </c>
      <c r="C27">
        <v>3</v>
      </c>
      <c r="E27" s="20" t="s">
        <v>2808</v>
      </c>
      <c r="F27">
        <f>SUMIF((A:A),"Updare Firmware NG", (C:C))</f>
        <v>1</v>
      </c>
    </row>
    <row r="28" spans="1:6">
      <c r="A28" t="s">
        <v>2453</v>
      </c>
      <c r="B28" s="20" t="s">
        <v>1113</v>
      </c>
      <c r="C28">
        <v>1</v>
      </c>
    </row>
    <row r="29" spans="1:6">
      <c r="A29" t="s">
        <v>1934</v>
      </c>
      <c r="B29" s="20" t="s">
        <v>1388</v>
      </c>
      <c r="C29">
        <v>1</v>
      </c>
    </row>
    <row r="30" spans="1:6">
      <c r="A30" t="s">
        <v>1683</v>
      </c>
      <c r="B30" s="20" t="s">
        <v>2809</v>
      </c>
      <c r="C30">
        <v>1</v>
      </c>
    </row>
    <row r="31" spans="1:6">
      <c r="A31" t="s">
        <v>1683</v>
      </c>
      <c r="B31" s="20" t="s">
        <v>1481</v>
      </c>
      <c r="C31">
        <v>1</v>
      </c>
    </row>
    <row r="32" spans="1:6">
      <c r="A32" s="20" t="s">
        <v>252</v>
      </c>
      <c r="B32" s="20" t="s">
        <v>519</v>
      </c>
      <c r="C32">
        <v>1</v>
      </c>
    </row>
    <row r="33" spans="1:3">
      <c r="A33" t="s">
        <v>2807</v>
      </c>
      <c r="B33" s="20" t="s">
        <v>2810</v>
      </c>
      <c r="C33">
        <v>1</v>
      </c>
    </row>
    <row r="34" spans="1:3">
      <c r="A34" s="20" t="s">
        <v>496</v>
      </c>
      <c r="B34" s="20" t="s">
        <v>496</v>
      </c>
      <c r="C34">
        <v>1</v>
      </c>
    </row>
    <row r="35" spans="1:3">
      <c r="A35" t="s">
        <v>1683</v>
      </c>
      <c r="B35" s="20" t="s">
        <v>2811</v>
      </c>
      <c r="C35">
        <v>3</v>
      </c>
    </row>
    <row r="36" spans="1:3">
      <c r="A36" t="s">
        <v>1683</v>
      </c>
      <c r="B36" s="20" t="s">
        <v>1036</v>
      </c>
      <c r="C36">
        <v>2</v>
      </c>
    </row>
    <row r="37" spans="1:3">
      <c r="A37" t="s">
        <v>1765</v>
      </c>
      <c r="B37" s="20" t="s">
        <v>1249</v>
      </c>
      <c r="C37">
        <v>1</v>
      </c>
    </row>
    <row r="38" spans="1:3">
      <c r="A38" t="s">
        <v>2808</v>
      </c>
      <c r="B38" s="20" t="s">
        <v>1325</v>
      </c>
      <c r="C3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27CB-E5D5-42AC-8580-8AF4C4CBDEC5}">
  <dimension ref="L16:L22"/>
  <sheetViews>
    <sheetView tabSelected="1" workbookViewId="0">
      <selection activeCell="Q8" sqref="Q8"/>
    </sheetView>
  </sheetViews>
  <sheetFormatPr defaultRowHeight="15"/>
  <cols>
    <col min="11" max="11" width="15.42578125" customWidth="1"/>
  </cols>
  <sheetData>
    <row r="16" spans="12:12">
      <c r="L16" s="5"/>
    </row>
    <row r="17" spans="12:12">
      <c r="L17" s="5"/>
    </row>
    <row r="22" spans="12:12">
      <c r="L22"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6E6067AF7EFE74DA6E127ADE76DD75E" ma:contentTypeVersion="12" ma:contentTypeDescription="新しいドキュメントを作成します。" ma:contentTypeScope="" ma:versionID="80fc19c25496a57d4ca52dccf438aa5c">
  <xsd:schema xmlns:xsd="http://www.w3.org/2001/XMLSchema" xmlns:xs="http://www.w3.org/2001/XMLSchema" xmlns:p="http://schemas.microsoft.com/office/2006/metadata/properties" xmlns:ns2="6577cd57-57e6-4752-a34d-f43504cc8d69" xmlns:ns3="13f36dea-5328-491a-adcb-36ca29f78892" targetNamespace="http://schemas.microsoft.com/office/2006/metadata/properties" ma:root="true" ma:fieldsID="6bc9c363687bf1c5f76d00c27be0319d" ns2:_="" ns3:_="">
    <xsd:import namespace="6577cd57-57e6-4752-a34d-f43504cc8d69"/>
    <xsd:import namespace="13f36dea-5328-491a-adcb-36ca29f78892"/>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7cd57-57e6-4752-a34d-f43504cc8d6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画像タグ" ma:readOnly="false" ma:fieldId="{5cf76f15-5ced-4ddc-b409-7134ff3c332f}" ma:taxonomyMulti="true" ma:sspId="8d2388fb-6a4c-448f-b0f9-371295e7528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3f36dea-5328-491a-adcb-36ca29f78892"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e128294-0fae-47b8-8501-c95eff9dddce}" ma:internalName="TaxCatchAll" ma:showField="CatchAllData" ma:web="13f36dea-5328-491a-adcb-36ca29f788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3f36dea-5328-491a-adcb-36ca29f78892" xsi:nil="true"/>
    <lcf76f155ced4ddcb4097134ff3c332f xmlns="6577cd57-57e6-4752-a34d-f43504cc8d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94A04B-CCCB-440D-9B9E-8FFD610C496B}"/>
</file>

<file path=customXml/itemProps2.xml><?xml version="1.0" encoding="utf-8"?>
<ds:datastoreItem xmlns:ds="http://schemas.openxmlformats.org/officeDocument/2006/customXml" ds:itemID="{A1076477-069F-4E67-AE31-7AA9A64E6E9A}"/>
</file>

<file path=customXml/itemProps3.xml><?xml version="1.0" encoding="utf-8"?>
<ds:datastoreItem xmlns:ds="http://schemas.openxmlformats.org/officeDocument/2006/customXml" ds:itemID="{B80A8D3A-92AC-4D36-B915-7F2CBC455FA2}"/>
</file>

<file path=docMetadata/LabelInfo.xml><?xml version="1.0" encoding="utf-8"?>
<clbl:labelList xmlns:clbl="http://schemas.microsoft.com/office/2020/mipLabelMetadata">
  <clbl:label id="{549229e1-d9eb-40cf-aa20-8039fe5d6144}" enabled="1" method="Privileged" siteId="{3ce358ea-700e-4f0f-bb37-fd0b7c21366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Brian Ramdhani</cp:lastModifiedBy>
  <cp:revision/>
  <dcterms:created xsi:type="dcterms:W3CDTF">2024-11-23T10:04:42Z</dcterms:created>
  <dcterms:modified xsi:type="dcterms:W3CDTF">2026-01-08T12:30:22Z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0x010100E6E6067AF7EFE74DA6E127ADE76DD75E</vt:lpwstr>
  </property>
  <property fmtid="{D5CDD505-2E9C-101B-9397-08002B2CF9AE}" pid="3" name="MediaServiceImageTags">
    <vt:lpwstr/>
  </property>
</Properties>
</file>